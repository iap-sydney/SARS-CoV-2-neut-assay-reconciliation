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francesca_mordant_unimelb_edu_au/Documents/Documents/- SARS-CoV-2/FM-24-030 - CPE MN - WHO IE Discover only; Vic01; wash after adsorption/"/>
    </mc:Choice>
  </mc:AlternateContent>
  <xr:revisionPtr revIDLastSave="491" documentId="11_762530A3969A4AF9904B073896ED01D06C201EB6" xr6:coauthVersionLast="47" xr6:coauthVersionMax="47" xr10:uidLastSave="{8534633E-58B8-4C61-8822-A3C490713FF3}"/>
  <bookViews>
    <workbookView xWindow="0" yWindow="0" windowWidth="19200" windowHeight="21000" tabRatio="823" firstSheet="1" activeTab="4" xr2:uid="{00000000-000D-0000-FFFF-FFFF00000000}"/>
  </bookViews>
  <sheets>
    <sheet name="MN layout (2x)" sheetId="2" r:id="rId1"/>
    <sheet name="MN protocol" sheetId="1" r:id="rId2"/>
    <sheet name="MN results 1" sheetId="9" r:id="rId3"/>
    <sheet name="MN results 2" sheetId="10" r:id="rId4"/>
    <sheet name="Summary" sheetId="7" r:id="rId5"/>
  </sheets>
  <definedNames>
    <definedName name="_xlnm._FilterDatabase" localSheetId="0" hidden="1">'MN layout (2x)'!$A$3:$A$89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2" i="7"/>
  <c r="K44" i="10"/>
  <c r="K42" i="10"/>
  <c r="K45" i="10"/>
  <c r="K43" i="10"/>
  <c r="K41" i="10"/>
  <c r="K40" i="10"/>
  <c r="AA37" i="10"/>
  <c r="Q37" i="10" a="1"/>
  <c r="Q37" i="10" s="1"/>
  <c r="D37" i="10"/>
  <c r="C37" i="10"/>
  <c r="B37" i="10"/>
  <c r="AA36" i="10"/>
  <c r="Q36" i="10" a="1"/>
  <c r="Q36" i="10" s="1"/>
  <c r="D36" i="10"/>
  <c r="C36" i="10"/>
  <c r="B36" i="10"/>
  <c r="AA35" i="10"/>
  <c r="Q35" i="10" a="1"/>
  <c r="Q35" i="10" s="1"/>
  <c r="D35" i="10"/>
  <c r="C35" i="10"/>
  <c r="B35" i="10"/>
  <c r="AA34" i="10"/>
  <c r="Q34" i="10" a="1"/>
  <c r="Q34" i="10" s="1"/>
  <c r="D34" i="10"/>
  <c r="C34" i="10"/>
  <c r="B34" i="10"/>
  <c r="AA33" i="10"/>
  <c r="Q33" i="10" a="1"/>
  <c r="Q33" i="10" s="1"/>
  <c r="D33" i="10"/>
  <c r="C33" i="10"/>
  <c r="B33" i="10"/>
  <c r="AA32" i="10"/>
  <c r="Q32" i="10" a="1"/>
  <c r="Q32" i="10" s="1"/>
  <c r="D32" i="10"/>
  <c r="C32" i="10"/>
  <c r="B32" i="10"/>
  <c r="AA31" i="10"/>
  <c r="Q31" i="10" a="1"/>
  <c r="Q31" i="10" s="1"/>
  <c r="D31" i="10"/>
  <c r="C31" i="10"/>
  <c r="B31" i="10"/>
  <c r="AA30" i="10"/>
  <c r="Q30" i="10" a="1"/>
  <c r="Q30" i="10" s="1"/>
  <c r="D30" i="10"/>
  <c r="C30" i="10"/>
  <c r="B30" i="10"/>
  <c r="AA29" i="10"/>
  <c r="Q29" i="10" a="1"/>
  <c r="Q29" i="10" s="1"/>
  <c r="D29" i="10"/>
  <c r="C29" i="10"/>
  <c r="B29" i="10"/>
  <c r="AA28" i="10"/>
  <c r="Q28" i="10" a="1"/>
  <c r="Q28" i="10" s="1"/>
  <c r="D28" i="10"/>
  <c r="C28" i="10"/>
  <c r="B28" i="10"/>
  <c r="AA27" i="10"/>
  <c r="Q27" i="10" a="1"/>
  <c r="Q27" i="10" s="1"/>
  <c r="D27" i="10"/>
  <c r="C27" i="10"/>
  <c r="B27" i="10"/>
  <c r="AA26" i="10"/>
  <c r="Q26" i="10" a="1"/>
  <c r="Q26" i="10" s="1"/>
  <c r="D26" i="10"/>
  <c r="C26" i="10"/>
  <c r="B26" i="10"/>
  <c r="AA25" i="10"/>
  <c r="Q25" i="10" a="1"/>
  <c r="Q25" i="10" s="1"/>
  <c r="D25" i="10"/>
  <c r="C25" i="10"/>
  <c r="B25" i="10"/>
  <c r="AA24" i="10"/>
  <c r="Q24" i="10" a="1"/>
  <c r="Q24" i="10" s="1"/>
  <c r="D24" i="10"/>
  <c r="C24" i="10"/>
  <c r="B24" i="10"/>
  <c r="AA23" i="10"/>
  <c r="Q23" i="10" a="1"/>
  <c r="Q23" i="10" s="1"/>
  <c r="D23" i="10"/>
  <c r="C23" i="10"/>
  <c r="B23" i="10"/>
  <c r="AA22" i="10"/>
  <c r="Q22" i="10" a="1"/>
  <c r="Q22" i="10" s="1"/>
  <c r="D22" i="10"/>
  <c r="C22" i="10"/>
  <c r="B22" i="10"/>
  <c r="AA21" i="10"/>
  <c r="Q21" i="10" a="1"/>
  <c r="Q21" i="10" s="1"/>
  <c r="D21" i="10"/>
  <c r="C21" i="10"/>
  <c r="B21" i="10"/>
  <c r="AA20" i="10"/>
  <c r="Q20" i="10" a="1"/>
  <c r="Q20" i="10" s="1"/>
  <c r="D20" i="10"/>
  <c r="C20" i="10"/>
  <c r="B20" i="10"/>
  <c r="AA19" i="10"/>
  <c r="Q19" i="10" a="1"/>
  <c r="Q19" i="10" s="1"/>
  <c r="D19" i="10"/>
  <c r="C19" i="10"/>
  <c r="B19" i="10"/>
  <c r="AA18" i="10"/>
  <c r="Q18" i="10" a="1"/>
  <c r="Q18" i="10" s="1"/>
  <c r="D18" i="10"/>
  <c r="C18" i="10"/>
  <c r="B18" i="10"/>
  <c r="AA17" i="10"/>
  <c r="Q17" i="10" a="1"/>
  <c r="Q17" i="10" s="1"/>
  <c r="D17" i="10"/>
  <c r="C17" i="10"/>
  <c r="B17" i="10"/>
  <c r="AA16" i="10"/>
  <c r="Q16" i="10" a="1"/>
  <c r="Q16" i="10" s="1"/>
  <c r="D16" i="10"/>
  <c r="C16" i="10"/>
  <c r="B16" i="10"/>
  <c r="AA15" i="10"/>
  <c r="Q15" i="10" a="1"/>
  <c r="Q15" i="10" s="1"/>
  <c r="D15" i="10"/>
  <c r="C15" i="10"/>
  <c r="B15" i="10"/>
  <c r="AA14" i="10"/>
  <c r="Q14" i="10" a="1"/>
  <c r="Q14" i="10" s="1"/>
  <c r="D14" i="10"/>
  <c r="C14" i="10"/>
  <c r="B14" i="10"/>
  <c r="AA13" i="10"/>
  <c r="Q13" i="10" a="1"/>
  <c r="Q13" i="10" s="1"/>
  <c r="D13" i="10"/>
  <c r="C13" i="10"/>
  <c r="B13" i="10"/>
  <c r="AA12" i="10"/>
  <c r="Q12" i="10" a="1"/>
  <c r="Q12" i="10" s="1"/>
  <c r="D12" i="10"/>
  <c r="C12" i="10"/>
  <c r="B12" i="10"/>
  <c r="AA11" i="10"/>
  <c r="Q11" i="10" a="1"/>
  <c r="Q11" i="10" s="1"/>
  <c r="D11" i="10"/>
  <c r="C11" i="10"/>
  <c r="B11" i="10"/>
  <c r="AA10" i="10"/>
  <c r="Q10" i="10" a="1"/>
  <c r="Q10" i="10" s="1"/>
  <c r="D10" i="10"/>
  <c r="C10" i="10"/>
  <c r="B10" i="10"/>
  <c r="AA9" i="10"/>
  <c r="Q9" i="10" a="1"/>
  <c r="Q9" i="10" s="1"/>
  <c r="D9" i="10"/>
  <c r="C9" i="10"/>
  <c r="B9" i="10"/>
  <c r="AA8" i="10"/>
  <c r="Q8" i="10" a="1"/>
  <c r="Q8" i="10" s="1"/>
  <c r="D8" i="10"/>
  <c r="C8" i="10"/>
  <c r="B8" i="10"/>
  <c r="P1" i="10"/>
  <c r="H15" i="1"/>
  <c r="H14" i="1"/>
  <c r="H11" i="1"/>
  <c r="H13" i="1"/>
  <c r="H12" i="1"/>
  <c r="K43" i="9"/>
  <c r="U16" i="10" l="1"/>
  <c r="AC16" i="10" s="1"/>
  <c r="R16" i="10"/>
  <c r="S16" i="10" s="1" a="1"/>
  <c r="R35" i="10"/>
  <c r="S35" i="10" s="1" a="1"/>
  <c r="U35" i="10"/>
  <c r="AC35" i="10" s="1"/>
  <c r="U14" i="10"/>
  <c r="AC14" i="10" s="1"/>
  <c r="R14" i="10"/>
  <c r="S14" i="10" s="1" a="1"/>
  <c r="U12" i="10"/>
  <c r="AC12" i="10" s="1"/>
  <c r="R12" i="10"/>
  <c r="S12" i="10" s="1" a="1"/>
  <c r="U17" i="10"/>
  <c r="AC17" i="10" s="1"/>
  <c r="R17" i="10"/>
  <c r="S17" i="10" s="1" a="1"/>
  <c r="U28" i="10"/>
  <c r="AC28" i="10" s="1"/>
  <c r="R28" i="10"/>
  <c r="S28" i="10" s="1" a="1"/>
  <c r="U22" i="10"/>
  <c r="AC22" i="10" s="1"/>
  <c r="R22" i="10"/>
  <c r="S22" i="10" s="1" a="1"/>
  <c r="U24" i="10"/>
  <c r="AC24" i="10" s="1"/>
  <c r="R24" i="10"/>
  <c r="S24" i="10" s="1" a="1"/>
  <c r="U34" i="10"/>
  <c r="AC34" i="10" s="1"/>
  <c r="R34" i="10"/>
  <c r="S34" i="10" s="1" a="1"/>
  <c r="U18" i="10"/>
  <c r="AC18" i="10" s="1"/>
  <c r="R18" i="10"/>
  <c r="S18" i="10" s="1" a="1"/>
  <c r="R11" i="10"/>
  <c r="S11" i="10" s="1" a="1"/>
  <c r="U11" i="10"/>
  <c r="AC11" i="10" s="1"/>
  <c r="R27" i="10"/>
  <c r="S27" i="10" s="1" a="1"/>
  <c r="U27" i="10"/>
  <c r="AC27" i="10" s="1"/>
  <c r="U29" i="10"/>
  <c r="AC29" i="10" s="1"/>
  <c r="R29" i="10"/>
  <c r="S29" i="10" s="1" a="1"/>
  <c r="R31" i="10"/>
  <c r="S31" i="10" s="1" a="1"/>
  <c r="U31" i="10"/>
  <c r="AC31" i="10" s="1"/>
  <c r="U9" i="10"/>
  <c r="AC9" i="10" s="1"/>
  <c r="R9" i="10"/>
  <c r="S9" i="10" s="1" a="1"/>
  <c r="U21" i="10"/>
  <c r="AC21" i="10" s="1"/>
  <c r="R21" i="10"/>
  <c r="S21" i="10" s="1" a="1"/>
  <c r="U25" i="10"/>
  <c r="AC25" i="10" s="1"/>
  <c r="R25" i="10"/>
  <c r="S25" i="10" s="1" a="1"/>
  <c r="R19" i="10"/>
  <c r="S19" i="10" s="1" a="1"/>
  <c r="U19" i="10"/>
  <c r="AC19" i="10" s="1"/>
  <c r="R23" i="10"/>
  <c r="S23" i="10" s="1" a="1"/>
  <c r="U23" i="10"/>
  <c r="AC23" i="10" s="1"/>
  <c r="U33" i="10"/>
  <c r="AC33" i="10" s="1"/>
  <c r="R33" i="10"/>
  <c r="S33" i="10" s="1" a="1"/>
  <c r="U37" i="10"/>
  <c r="AC37" i="10" s="1"/>
  <c r="R37" i="10"/>
  <c r="S37" i="10" s="1" a="1"/>
  <c r="U30" i="10"/>
  <c r="AC30" i="10" s="1"/>
  <c r="R30" i="10"/>
  <c r="S30" i="10" s="1" a="1"/>
  <c r="U10" i="10"/>
  <c r="AC10" i="10" s="1"/>
  <c r="R10" i="10"/>
  <c r="S10" i="10" s="1" a="1"/>
  <c r="U26" i="10"/>
  <c r="AC26" i="10" s="1"/>
  <c r="R26" i="10"/>
  <c r="S26" i="10" s="1" a="1"/>
  <c r="R15" i="10"/>
  <c r="S15" i="10" s="1" a="1"/>
  <c r="U15" i="10"/>
  <c r="AC15" i="10" s="1"/>
  <c r="U8" i="10"/>
  <c r="AC8" i="10" s="1"/>
  <c r="R8" i="10"/>
  <c r="S8" i="10" s="1" a="1"/>
  <c r="U20" i="10"/>
  <c r="AC20" i="10" s="1"/>
  <c r="R20" i="10"/>
  <c r="S20" i="10" s="1" a="1"/>
  <c r="U32" i="10"/>
  <c r="AC32" i="10" s="1"/>
  <c r="R32" i="10"/>
  <c r="S32" i="10" s="1" a="1"/>
  <c r="U13" i="10"/>
  <c r="AC13" i="10" s="1"/>
  <c r="R13" i="10"/>
  <c r="S13" i="10" s="1" a="1"/>
  <c r="U36" i="10"/>
  <c r="AC36" i="10" s="1"/>
  <c r="R36" i="10"/>
  <c r="S36" i="10" s="1" a="1"/>
  <c r="K42" i="9"/>
  <c r="S36" i="10" l="1"/>
  <c r="X36" i="10"/>
  <c r="V36" i="10"/>
  <c r="W36" i="10" s="1"/>
  <c r="S32" i="10"/>
  <c r="X32" i="10"/>
  <c r="V32" i="10"/>
  <c r="W32" i="10" s="1"/>
  <c r="S31" i="10"/>
  <c r="X31" i="10"/>
  <c r="V31" i="10"/>
  <c r="W31" i="10" s="1"/>
  <c r="S30" i="10"/>
  <c r="X30" i="10"/>
  <c r="V30" i="10"/>
  <c r="S27" i="10"/>
  <c r="X27" i="10"/>
  <c r="V27" i="10"/>
  <c r="W27" i="10" s="1"/>
  <c r="S22" i="10"/>
  <c r="X22" i="10"/>
  <c r="V22" i="10"/>
  <c r="W22" i="10" s="1"/>
  <c r="S35" i="10"/>
  <c r="V35" i="10"/>
  <c r="W35" i="10" s="1"/>
  <c r="X35" i="10"/>
  <c r="Y35" i="10" s="1"/>
  <c r="S21" i="10"/>
  <c r="X21" i="10"/>
  <c r="V21" i="10"/>
  <c r="W21" i="10" s="1"/>
  <c r="X17" i="10"/>
  <c r="S17" i="10"/>
  <c r="V17" i="10"/>
  <c r="W17" i="10" s="1"/>
  <c r="X37" i="10"/>
  <c r="V37" i="10"/>
  <c r="W37" i="10" s="1"/>
  <c r="S37" i="10"/>
  <c r="S20" i="10"/>
  <c r="X20" i="10"/>
  <c r="V20" i="10"/>
  <c r="W20" i="10" s="1"/>
  <c r="X9" i="10"/>
  <c r="S9" i="10"/>
  <c r="V9" i="10"/>
  <c r="W9" i="10" s="1"/>
  <c r="S12" i="10"/>
  <c r="X12" i="10"/>
  <c r="V12" i="10"/>
  <c r="W12" i="10" s="1"/>
  <c r="X11" i="10"/>
  <c r="V11" i="10"/>
  <c r="W11" i="10" s="1"/>
  <c r="S11" i="10"/>
  <c r="X18" i="10"/>
  <c r="S18" i="10"/>
  <c r="V18" i="10"/>
  <c r="W18" i="10" s="1"/>
  <c r="S8" i="10"/>
  <c r="V8" i="10"/>
  <c r="W8" i="10" s="1"/>
  <c r="X8" i="10"/>
  <c r="Y8" i="10" s="1"/>
  <c r="X33" i="10"/>
  <c r="V33" i="10"/>
  <c r="W33" i="10" s="1"/>
  <c r="S33" i="10"/>
  <c r="X25" i="10"/>
  <c r="V25" i="10"/>
  <c r="W25" i="10" s="1"/>
  <c r="S25" i="10"/>
  <c r="X34" i="10"/>
  <c r="V34" i="10"/>
  <c r="W34" i="10" s="1"/>
  <c r="S34" i="10"/>
  <c r="X14" i="10"/>
  <c r="S14" i="10"/>
  <c r="V14" i="10"/>
  <c r="W14" i="10" s="1"/>
  <c r="S24" i="10"/>
  <c r="X24" i="10"/>
  <c r="V24" i="10"/>
  <c r="W24" i="10" s="1"/>
  <c r="X29" i="10"/>
  <c r="V29" i="10"/>
  <c r="W29" i="10" s="1"/>
  <c r="S29" i="10"/>
  <c r="X26" i="10"/>
  <c r="S26" i="10"/>
  <c r="V26" i="10"/>
  <c r="W26" i="10" s="1"/>
  <c r="X23" i="10"/>
  <c r="V23" i="10"/>
  <c r="W23" i="10" s="1"/>
  <c r="S23" i="10"/>
  <c r="S28" i="10"/>
  <c r="X28" i="10"/>
  <c r="V28" i="10"/>
  <c r="W28" i="10" s="1"/>
  <c r="X15" i="10"/>
  <c r="V15" i="10"/>
  <c r="W15" i="10" s="1"/>
  <c r="S15" i="10"/>
  <c r="X19" i="10"/>
  <c r="V19" i="10"/>
  <c r="W19" i="10" s="1"/>
  <c r="S19" i="10"/>
  <c r="X13" i="10"/>
  <c r="S13" i="10"/>
  <c r="V13" i="10"/>
  <c r="W13" i="10" s="1"/>
  <c r="X10" i="10"/>
  <c r="S10" i="10"/>
  <c r="V10" i="10"/>
  <c r="W10" i="10" s="1"/>
  <c r="S16" i="10"/>
  <c r="X16" i="10"/>
  <c r="V16" i="10"/>
  <c r="W16" i="10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2" i="7"/>
  <c r="AA37" i="9"/>
  <c r="Q37" i="9" a="1"/>
  <c r="Q37" i="9" s="1"/>
  <c r="U37" i="9" s="1"/>
  <c r="AC37" i="9" s="1"/>
  <c r="AA36" i="9"/>
  <c r="Q36" i="9" a="1"/>
  <c r="Q36" i="9" s="1"/>
  <c r="R36" i="9" s="1"/>
  <c r="S36" i="9" s="1" a="1"/>
  <c r="AA35" i="9"/>
  <c r="Q35" i="9" a="1"/>
  <c r="Q35" i="9" s="1"/>
  <c r="AA34" i="9"/>
  <c r="Q34" i="9" a="1"/>
  <c r="Q34" i="9" s="1"/>
  <c r="U34" i="9" s="1"/>
  <c r="AC34" i="9" s="1"/>
  <c r="AA33" i="9"/>
  <c r="Q33" i="9" a="1"/>
  <c r="Q33" i="9" s="1"/>
  <c r="R33" i="9" s="1"/>
  <c r="S33" i="9" s="1" a="1"/>
  <c r="AA32" i="9"/>
  <c r="Q32" i="9" a="1"/>
  <c r="Q32" i="9" s="1"/>
  <c r="AA31" i="9"/>
  <c r="Q31" i="9" a="1"/>
  <c r="Q31" i="9" s="1"/>
  <c r="U31" i="9" s="1"/>
  <c r="AC31" i="9" s="1"/>
  <c r="AA30" i="9"/>
  <c r="Q30" i="9" a="1"/>
  <c r="Q30" i="9" s="1"/>
  <c r="AA29" i="9"/>
  <c r="Q29" i="9" a="1"/>
  <c r="Q29" i="9" s="1"/>
  <c r="AA28" i="9"/>
  <c r="Q28" i="9" a="1"/>
  <c r="Q28" i="9" s="1"/>
  <c r="AA27" i="9"/>
  <c r="Q27" i="9" a="1"/>
  <c r="Q27" i="9" s="1"/>
  <c r="AA26" i="9"/>
  <c r="Q26" i="9" a="1"/>
  <c r="Q26" i="9" s="1"/>
  <c r="R26" i="9" s="1"/>
  <c r="S26" i="9" s="1" a="1"/>
  <c r="AA25" i="9"/>
  <c r="Q25" i="9" a="1"/>
  <c r="Q25" i="9" s="1"/>
  <c r="R25" i="9" s="1"/>
  <c r="S25" i="9" s="1" a="1"/>
  <c r="AA24" i="9"/>
  <c r="Q24" i="9" a="1"/>
  <c r="Q24" i="9" s="1"/>
  <c r="AA23" i="9"/>
  <c r="Q23" i="9" a="1"/>
  <c r="Q23" i="9" s="1"/>
  <c r="U23" i="9" s="1"/>
  <c r="AC23" i="9" s="1"/>
  <c r="AA22" i="9"/>
  <c r="Q22" i="9" a="1"/>
  <c r="Q22" i="9" s="1"/>
  <c r="AA21" i="9"/>
  <c r="Q21" i="9" a="1"/>
  <c r="Q21" i="9" s="1"/>
  <c r="AA20" i="9"/>
  <c r="Q20" i="9" a="1"/>
  <c r="Q20" i="9" s="1"/>
  <c r="AA19" i="9"/>
  <c r="Q19" i="9" a="1"/>
  <c r="Q19" i="9" s="1"/>
  <c r="U19" i="9" s="1"/>
  <c r="AC19" i="9" s="1"/>
  <c r="AA18" i="9"/>
  <c r="Q18" i="9" a="1"/>
  <c r="Q18" i="9" s="1"/>
  <c r="U18" i="9" s="1"/>
  <c r="AC18" i="9" s="1"/>
  <c r="AA17" i="9"/>
  <c r="Q17" i="9" a="1"/>
  <c r="Q17" i="9" s="1"/>
  <c r="AA16" i="9"/>
  <c r="Q16" i="9" a="1"/>
  <c r="Q16" i="9" s="1"/>
  <c r="AA15" i="9"/>
  <c r="Q15" i="9" a="1"/>
  <c r="Q15" i="9" s="1"/>
  <c r="AA14" i="9"/>
  <c r="Q14" i="9" a="1"/>
  <c r="Q14" i="9" s="1"/>
  <c r="AA13" i="9"/>
  <c r="Q13" i="9" a="1"/>
  <c r="Q13" i="9" s="1"/>
  <c r="AA12" i="9"/>
  <c r="Q12" i="9" a="1"/>
  <c r="Q12" i="9" s="1"/>
  <c r="AA11" i="9"/>
  <c r="Q11" i="9" a="1"/>
  <c r="Q11" i="9" s="1"/>
  <c r="U11" i="9" s="1"/>
  <c r="AC11" i="9" s="1"/>
  <c r="AA10" i="9"/>
  <c r="Q10" i="9" a="1"/>
  <c r="Q10" i="9" s="1"/>
  <c r="U10" i="9" s="1"/>
  <c r="AC10" i="9" s="1"/>
  <c r="AA9" i="9"/>
  <c r="Q9" i="9" a="1"/>
  <c r="Q9" i="9" s="1"/>
  <c r="AA8" i="9"/>
  <c r="Q8" i="9" a="1"/>
  <c r="Q8" i="9" s="1"/>
  <c r="G14" i="1"/>
  <c r="G15" i="1" s="1"/>
  <c r="G12" i="1"/>
  <c r="G11" i="1" s="1"/>
  <c r="B12" i="1"/>
  <c r="B13" i="1" s="1"/>
  <c r="C11" i="1"/>
  <c r="C10" i="1"/>
  <c r="B10" i="1"/>
  <c r="C9" i="1"/>
  <c r="Y36" i="10" l="1"/>
  <c r="Z36" i="10" s="1"/>
  <c r="AB36" i="10" s="1"/>
  <c r="AD36" i="10" s="1"/>
  <c r="AE36" i="10" s="1"/>
  <c r="AF36" i="10" s="1"/>
  <c r="AG36" i="10" s="1"/>
  <c r="Y32" i="10"/>
  <c r="Z32" i="10" s="1"/>
  <c r="AB32" i="10" s="1"/>
  <c r="AD32" i="10" s="1"/>
  <c r="AE32" i="10" s="1"/>
  <c r="AF32" i="10" s="1"/>
  <c r="AG32" i="10" s="1"/>
  <c r="Y31" i="10"/>
  <c r="Z31" i="10" s="1"/>
  <c r="AB31" i="10" s="1"/>
  <c r="AD31" i="10" s="1"/>
  <c r="AE31" i="10" s="1"/>
  <c r="AF31" i="10" s="1"/>
  <c r="AG31" i="10" s="1"/>
  <c r="Y30" i="10"/>
  <c r="W30" i="10"/>
  <c r="Z30" i="10" s="1"/>
  <c r="AB30" i="10" s="1"/>
  <c r="AD30" i="10" s="1"/>
  <c r="AE30" i="10" s="1"/>
  <c r="AF30" i="10" s="1"/>
  <c r="AG30" i="10" s="1"/>
  <c r="Y27" i="10"/>
  <c r="Z27" i="10" s="1"/>
  <c r="AB27" i="10" s="1"/>
  <c r="AD27" i="10" s="1"/>
  <c r="AE27" i="10" s="1"/>
  <c r="AF27" i="10" s="1"/>
  <c r="AG27" i="10" s="1"/>
  <c r="Y22" i="10"/>
  <c r="Z22" i="10" s="1"/>
  <c r="AB22" i="10" s="1"/>
  <c r="AD22" i="10" s="1"/>
  <c r="AE22" i="10" s="1"/>
  <c r="AF22" i="10" s="1"/>
  <c r="AG22" i="10" s="1"/>
  <c r="Y9" i="10"/>
  <c r="Z9" i="10" s="1"/>
  <c r="AB9" i="10" s="1"/>
  <c r="AD9" i="10" s="1"/>
  <c r="AE9" i="10" s="1"/>
  <c r="AF9" i="10" s="1"/>
  <c r="AG9" i="10" s="1"/>
  <c r="Z35" i="10"/>
  <c r="AB35" i="10" s="1"/>
  <c r="AD35" i="10" s="1"/>
  <c r="AE35" i="10" s="1"/>
  <c r="AF35" i="10" s="1"/>
  <c r="AG35" i="10" s="1"/>
  <c r="Y21" i="10"/>
  <c r="Z21" i="10" s="1"/>
  <c r="AB21" i="10" s="1"/>
  <c r="AD21" i="10" s="1"/>
  <c r="AE21" i="10" s="1"/>
  <c r="AF21" i="10" s="1"/>
  <c r="AG21" i="10" s="1"/>
  <c r="Y37" i="10"/>
  <c r="Z37" i="10" s="1"/>
  <c r="AB37" i="10" s="1"/>
  <c r="AD37" i="10" s="1"/>
  <c r="AE37" i="10" s="1"/>
  <c r="AF37" i="10" s="1"/>
  <c r="AG37" i="10" s="1"/>
  <c r="Y24" i="10"/>
  <c r="Z24" i="10" s="1"/>
  <c r="AB24" i="10" s="1"/>
  <c r="AD24" i="10" s="1"/>
  <c r="AE24" i="10" s="1"/>
  <c r="AF24" i="10" s="1"/>
  <c r="AG24" i="10" s="1"/>
  <c r="Y26" i="10"/>
  <c r="Z26" i="10" s="1"/>
  <c r="AB26" i="10" s="1"/>
  <c r="AD26" i="10" s="1"/>
  <c r="AE26" i="10" s="1"/>
  <c r="AF26" i="10" s="1"/>
  <c r="AG26" i="10" s="1"/>
  <c r="Y16" i="10"/>
  <c r="Z16" i="10" s="1"/>
  <c r="AB16" i="10" s="1"/>
  <c r="AD16" i="10" s="1"/>
  <c r="AE16" i="10" s="1"/>
  <c r="AF16" i="10" s="1"/>
  <c r="AG16" i="10" s="1"/>
  <c r="Y33" i="10"/>
  <c r="Y13" i="10"/>
  <c r="Z13" i="10" s="1"/>
  <c r="AB13" i="10" s="1"/>
  <c r="AD13" i="10" s="1"/>
  <c r="AE13" i="10" s="1"/>
  <c r="AF13" i="10" s="1"/>
  <c r="AG13" i="10" s="1"/>
  <c r="Z8" i="10"/>
  <c r="AB8" i="10" s="1"/>
  <c r="AD8" i="10" s="1"/>
  <c r="AE8" i="10" s="1"/>
  <c r="AF8" i="10" s="1"/>
  <c r="AG8" i="10" s="1"/>
  <c r="Y23" i="10"/>
  <c r="Z23" i="10" s="1"/>
  <c r="AB23" i="10" s="1"/>
  <c r="AD23" i="10" s="1"/>
  <c r="AE23" i="10" s="1"/>
  <c r="AF23" i="10" s="1"/>
  <c r="AG23" i="10" s="1"/>
  <c r="Y14" i="10"/>
  <c r="Z14" i="10" s="1"/>
  <c r="AB14" i="10" s="1"/>
  <c r="AD14" i="10" s="1"/>
  <c r="AE14" i="10" s="1"/>
  <c r="AF14" i="10" s="1"/>
  <c r="AG14" i="10" s="1"/>
  <c r="Y20" i="10"/>
  <c r="Z20" i="10" s="1"/>
  <c r="AB20" i="10" s="1"/>
  <c r="AD20" i="10" s="1"/>
  <c r="AE20" i="10" s="1"/>
  <c r="AF20" i="10" s="1"/>
  <c r="AG20" i="10" s="1"/>
  <c r="Y18" i="10"/>
  <c r="Z18" i="10" s="1"/>
  <c r="AB18" i="10" s="1"/>
  <c r="AD18" i="10" s="1"/>
  <c r="AE18" i="10" s="1"/>
  <c r="AF18" i="10" s="1"/>
  <c r="AG18" i="10" s="1"/>
  <c r="Y15" i="10"/>
  <c r="Z15" i="10" s="1"/>
  <c r="AB15" i="10" s="1"/>
  <c r="AD15" i="10" s="1"/>
  <c r="AE15" i="10" s="1"/>
  <c r="AF15" i="10" s="1"/>
  <c r="AG15" i="10" s="1"/>
  <c r="Y11" i="10"/>
  <c r="Z11" i="10" s="1"/>
  <c r="AB11" i="10" s="1"/>
  <c r="AD11" i="10" s="1"/>
  <c r="AE11" i="10" s="1"/>
  <c r="AF11" i="10" s="1"/>
  <c r="AG11" i="10" s="1"/>
  <c r="Y19" i="10"/>
  <c r="Z19" i="10" s="1"/>
  <c r="AB19" i="10" s="1"/>
  <c r="AD19" i="10" s="1"/>
  <c r="AE19" i="10" s="1"/>
  <c r="AF19" i="10" s="1"/>
  <c r="AG19" i="10" s="1"/>
  <c r="Y34" i="10"/>
  <c r="Z34" i="10" s="1"/>
  <c r="AB34" i="10" s="1"/>
  <c r="AD34" i="10" s="1"/>
  <c r="AE34" i="10" s="1"/>
  <c r="AF34" i="10" s="1"/>
  <c r="AG34" i="10" s="1"/>
  <c r="Y25" i="10"/>
  <c r="Z25" i="10" s="1"/>
  <c r="AB25" i="10" s="1"/>
  <c r="AD25" i="10" s="1"/>
  <c r="AE25" i="10" s="1"/>
  <c r="AF25" i="10" s="1"/>
  <c r="AG25" i="10" s="1"/>
  <c r="Y10" i="10"/>
  <c r="Z10" i="10" s="1"/>
  <c r="AB10" i="10" s="1"/>
  <c r="AD10" i="10" s="1"/>
  <c r="AE10" i="10" s="1"/>
  <c r="AF10" i="10" s="1"/>
  <c r="AG10" i="10" s="1"/>
  <c r="Z33" i="10"/>
  <c r="AB33" i="10" s="1"/>
  <c r="AD33" i="10" s="1"/>
  <c r="AE33" i="10" s="1"/>
  <c r="AF33" i="10" s="1"/>
  <c r="AG33" i="10" s="1"/>
  <c r="Y12" i="10"/>
  <c r="Z12" i="10" s="1"/>
  <c r="AB12" i="10" s="1"/>
  <c r="AD12" i="10" s="1"/>
  <c r="AE12" i="10" s="1"/>
  <c r="AF12" i="10" s="1"/>
  <c r="AG12" i="10" s="1"/>
  <c r="Y29" i="10"/>
  <c r="Z29" i="10" s="1"/>
  <c r="AB29" i="10" s="1"/>
  <c r="AD29" i="10" s="1"/>
  <c r="AE29" i="10" s="1"/>
  <c r="AF29" i="10" s="1"/>
  <c r="AG29" i="10" s="1"/>
  <c r="Y28" i="10"/>
  <c r="Z28" i="10" s="1"/>
  <c r="AB28" i="10" s="1"/>
  <c r="AD28" i="10" s="1"/>
  <c r="AE28" i="10" s="1"/>
  <c r="AF28" i="10" s="1"/>
  <c r="AG28" i="10" s="1"/>
  <c r="Y17" i="10"/>
  <c r="Z17" i="10" s="1"/>
  <c r="AB17" i="10" s="1"/>
  <c r="AD17" i="10" s="1"/>
  <c r="AE17" i="10" s="1"/>
  <c r="AF17" i="10" s="1"/>
  <c r="AG17" i="10" s="1"/>
  <c r="X33" i="9"/>
  <c r="V33" i="9"/>
  <c r="S33" i="9"/>
  <c r="B14" i="1"/>
  <c r="R19" i="9"/>
  <c r="S19" i="9" s="1" a="1"/>
  <c r="Y33" i="9"/>
  <c r="U15" i="9"/>
  <c r="AC15" i="9" s="1"/>
  <c r="R15" i="9"/>
  <c r="S15" i="9" s="1" a="1"/>
  <c r="R10" i="9"/>
  <c r="R37" i="9"/>
  <c r="S25" i="9"/>
  <c r="X25" i="9"/>
  <c r="V25" i="9"/>
  <c r="W25" i="9" s="1"/>
  <c r="X26" i="9"/>
  <c r="V26" i="9"/>
  <c r="W26" i="9" s="1"/>
  <c r="S26" i="9"/>
  <c r="R11" i="9"/>
  <c r="S11" i="9" s="1" a="1"/>
  <c r="R29" i="9"/>
  <c r="U29" i="9"/>
  <c r="AC29" i="9" s="1"/>
  <c r="U14" i="9"/>
  <c r="AC14" i="9" s="1"/>
  <c r="R14" i="9"/>
  <c r="R17" i="9"/>
  <c r="S17" i="9" s="1" a="1"/>
  <c r="U17" i="9"/>
  <c r="AC17" i="9" s="1"/>
  <c r="U8" i="9"/>
  <c r="AC8" i="9" s="1"/>
  <c r="R8" i="9"/>
  <c r="S8" i="9" s="1" a="1"/>
  <c r="U21" i="9"/>
  <c r="AC21" i="9" s="1"/>
  <c r="R21" i="9"/>
  <c r="R9" i="9"/>
  <c r="S9" i="9" s="1" a="1"/>
  <c r="U9" i="9"/>
  <c r="AC9" i="9" s="1"/>
  <c r="R30" i="9"/>
  <c r="S30" i="9" s="1" a="1"/>
  <c r="U30" i="9"/>
  <c r="AC30" i="9" s="1"/>
  <c r="U12" i="9"/>
  <c r="AC12" i="9" s="1"/>
  <c r="R12" i="9"/>
  <c r="R18" i="9"/>
  <c r="U22" i="9"/>
  <c r="AC22" i="9" s="1"/>
  <c r="R22" i="9"/>
  <c r="S22" i="9" s="1" a="1"/>
  <c r="U35" i="9"/>
  <c r="AC35" i="9" s="1"/>
  <c r="R35" i="9"/>
  <c r="S35" i="9" s="1" a="1"/>
  <c r="U20" i="9"/>
  <c r="AC20" i="9" s="1"/>
  <c r="R20" i="9"/>
  <c r="R27" i="9"/>
  <c r="S27" i="9" s="1" a="1"/>
  <c r="U27" i="9"/>
  <c r="AC27" i="9" s="1"/>
  <c r="R32" i="9"/>
  <c r="S32" i="9" s="1" a="1"/>
  <c r="U32" i="9"/>
  <c r="AC32" i="9" s="1"/>
  <c r="X36" i="9"/>
  <c r="V36" i="9"/>
  <c r="W36" i="9" s="1"/>
  <c r="S36" i="9"/>
  <c r="R28" i="9"/>
  <c r="U28" i="9"/>
  <c r="AC28" i="9" s="1"/>
  <c r="U16" i="9"/>
  <c r="AC16" i="9" s="1"/>
  <c r="R16" i="9"/>
  <c r="U13" i="9"/>
  <c r="AC13" i="9" s="1"/>
  <c r="R13" i="9"/>
  <c r="S13" i="9" s="1" a="1"/>
  <c r="U24" i="9"/>
  <c r="AC24" i="9" s="1"/>
  <c r="R24" i="9"/>
  <c r="S24" i="9" s="1" a="1"/>
  <c r="U26" i="9"/>
  <c r="AC26" i="9" s="1"/>
  <c r="U36" i="9"/>
  <c r="AC36" i="9" s="1"/>
  <c r="R23" i="9"/>
  <c r="S23" i="9" s="1" a="1"/>
  <c r="R34" i="9"/>
  <c r="S34" i="9" s="1" a="1"/>
  <c r="R31" i="9"/>
  <c r="S31" i="9" s="1" a="1"/>
  <c r="U33" i="9"/>
  <c r="AC33" i="9" s="1"/>
  <c r="U25" i="9"/>
  <c r="AC25" i="9" s="1"/>
  <c r="W33" i="9"/>
  <c r="S20" i="9" a="1"/>
  <c r="S16" i="9" a="1"/>
  <c r="S29" i="9" a="1"/>
  <c r="S37" i="9" a="1"/>
  <c r="S14" i="9" a="1"/>
  <c r="S10" i="9" a="1"/>
  <c r="S21" i="9" a="1"/>
  <c r="S12" i="9" a="1"/>
  <c r="S18" i="9" a="1"/>
  <c r="S28" i="9" a="1"/>
  <c r="X37" i="9" l="1"/>
  <c r="V37" i="9"/>
  <c r="W37" i="9" s="1"/>
  <c r="X11" i="9"/>
  <c r="V11" i="9"/>
  <c r="W11" i="9" s="1"/>
  <c r="X17" i="9"/>
  <c r="V17" i="9"/>
  <c r="W17" i="9" s="1"/>
  <c r="X28" i="9"/>
  <c r="V28" i="9"/>
  <c r="W28" i="9" s="1"/>
  <c r="X19" i="9"/>
  <c r="V19" i="9"/>
  <c r="W19" i="9" s="1"/>
  <c r="X12" i="9"/>
  <c r="V12" i="9"/>
  <c r="W12" i="9" s="1"/>
  <c r="X10" i="9"/>
  <c r="V10" i="9"/>
  <c r="W10" i="9" s="1"/>
  <c r="X9" i="9"/>
  <c r="V9" i="9"/>
  <c r="W9" i="9" s="1"/>
  <c r="X15" i="9"/>
  <c r="V15" i="9"/>
  <c r="W15" i="9" s="1"/>
  <c r="X8" i="9"/>
  <c r="V8" i="9"/>
  <c r="W8" i="9" s="1"/>
  <c r="S11" i="9"/>
  <c r="S19" i="9"/>
  <c r="S28" i="9"/>
  <c r="S12" i="9"/>
  <c r="S8" i="9"/>
  <c r="S17" i="9"/>
  <c r="S37" i="9"/>
  <c r="S10" i="9"/>
  <c r="S9" i="9"/>
  <c r="S15" i="9"/>
  <c r="Z33" i="9"/>
  <c r="AB33" i="9" s="1"/>
  <c r="AD33" i="9" s="1"/>
  <c r="AE33" i="9" s="1"/>
  <c r="AF33" i="9" s="1"/>
  <c r="AG33" i="9" s="1"/>
  <c r="B27" i="7" s="1"/>
  <c r="S32" i="9"/>
  <c r="V32" i="9"/>
  <c r="W32" i="9" s="1"/>
  <c r="X32" i="9"/>
  <c r="X20" i="9"/>
  <c r="V20" i="9"/>
  <c r="W20" i="9" s="1"/>
  <c r="S20" i="9"/>
  <c r="X18" i="9"/>
  <c r="V18" i="9"/>
  <c r="W18" i="9" s="1"/>
  <c r="S18" i="9"/>
  <c r="S24" i="9"/>
  <c r="V24" i="9"/>
  <c r="W24" i="9" s="1"/>
  <c r="X24" i="9"/>
  <c r="S35" i="9"/>
  <c r="X35" i="9"/>
  <c r="V35" i="9"/>
  <c r="W35" i="9" s="1"/>
  <c r="X27" i="9"/>
  <c r="V27" i="9"/>
  <c r="W27" i="9" s="1"/>
  <c r="S27" i="9"/>
  <c r="S23" i="9"/>
  <c r="V23" i="9"/>
  <c r="W23" i="9" s="1"/>
  <c r="X23" i="9"/>
  <c r="X22" i="9"/>
  <c r="V22" i="9"/>
  <c r="W22" i="9" s="1"/>
  <c r="S22" i="9"/>
  <c r="X21" i="9"/>
  <c r="V21" i="9"/>
  <c r="W21" i="9" s="1"/>
  <c r="S21" i="9"/>
  <c r="V34" i="9"/>
  <c r="W34" i="9" s="1"/>
  <c r="X34" i="9"/>
  <c r="S34" i="9"/>
  <c r="S16" i="9"/>
  <c r="X16" i="9"/>
  <c r="V16" i="9"/>
  <c r="W16" i="9" s="1"/>
  <c r="X14" i="9"/>
  <c r="V14" i="9"/>
  <c r="W14" i="9" s="1"/>
  <c r="S14" i="9"/>
  <c r="X30" i="9"/>
  <c r="V30" i="9"/>
  <c r="W30" i="9" s="1"/>
  <c r="S30" i="9"/>
  <c r="V31" i="9"/>
  <c r="W31" i="9" s="1"/>
  <c r="S31" i="9"/>
  <c r="X31" i="9"/>
  <c r="X13" i="9"/>
  <c r="V13" i="9"/>
  <c r="W13" i="9" s="1"/>
  <c r="S13" i="9"/>
  <c r="X29" i="9"/>
  <c r="V29" i="9"/>
  <c r="W29" i="9" s="1"/>
  <c r="S29" i="9"/>
  <c r="Y26" i="9"/>
  <c r="Z26" i="9" s="1"/>
  <c r="AB26" i="9" s="1"/>
  <c r="AD26" i="9" s="1"/>
  <c r="Y25" i="9"/>
  <c r="Z25" i="9" s="1"/>
  <c r="AB25" i="9" s="1"/>
  <c r="AD25" i="9" s="1"/>
  <c r="Y36" i="9"/>
  <c r="Z36" i="9" s="1"/>
  <c r="AB36" i="9" s="1"/>
  <c r="AD36" i="9" s="1"/>
  <c r="Y37" i="9"/>
  <c r="Z37" i="9" s="1"/>
  <c r="AB37" i="9" s="1"/>
  <c r="AD37" i="9" s="1"/>
  <c r="Y11" i="9" l="1"/>
  <c r="Z11" i="9" s="1"/>
  <c r="AB11" i="9" s="1"/>
  <c r="AD11" i="9" s="1"/>
  <c r="AE11" i="9" s="1"/>
  <c r="AF11" i="9" s="1"/>
  <c r="AG11" i="9" s="1"/>
  <c r="B5" i="7" s="1"/>
  <c r="Y8" i="9"/>
  <c r="Z8" i="9" s="1"/>
  <c r="AB8" i="9" s="1"/>
  <c r="AD8" i="9" s="1"/>
  <c r="AE8" i="9" s="1"/>
  <c r="AF8" i="9" s="1"/>
  <c r="AG8" i="9" s="1"/>
  <c r="B2" i="7" s="1"/>
  <c r="Y9" i="9"/>
  <c r="Z9" i="9" s="1"/>
  <c r="AB9" i="9" s="1"/>
  <c r="AD9" i="9" s="1"/>
  <c r="AE9" i="9" s="1"/>
  <c r="AF9" i="9" s="1"/>
  <c r="AG9" i="9" s="1"/>
  <c r="B3" i="7" s="1"/>
  <c r="Y10" i="9"/>
  <c r="Z10" i="9" s="1"/>
  <c r="AB10" i="9" s="1"/>
  <c r="AD10" i="9" s="1"/>
  <c r="AE10" i="9" s="1"/>
  <c r="AF10" i="9" s="1"/>
  <c r="AG10" i="9" s="1"/>
  <c r="B4" i="7" s="1"/>
  <c r="Y15" i="9"/>
  <c r="Z15" i="9" s="1"/>
  <c r="AB15" i="9" s="1"/>
  <c r="AD15" i="9" s="1"/>
  <c r="AE15" i="9" s="1"/>
  <c r="AF15" i="9" s="1"/>
  <c r="AG15" i="9" s="1"/>
  <c r="B9" i="7" s="1"/>
  <c r="Y12" i="9"/>
  <c r="Z12" i="9" s="1"/>
  <c r="AB12" i="9" s="1"/>
  <c r="AD12" i="9" s="1"/>
  <c r="AE12" i="9" s="1"/>
  <c r="AF12" i="9" s="1"/>
  <c r="AG12" i="9" s="1"/>
  <c r="B6" i="7" s="1"/>
  <c r="Y19" i="9"/>
  <c r="Z19" i="9" s="1"/>
  <c r="AB19" i="9" s="1"/>
  <c r="AD19" i="9" s="1"/>
  <c r="AE19" i="9" s="1"/>
  <c r="AF19" i="9" s="1"/>
  <c r="AG19" i="9" s="1"/>
  <c r="B13" i="7" s="1"/>
  <c r="Y28" i="9"/>
  <c r="Z28" i="9" s="1"/>
  <c r="AB28" i="9" s="1"/>
  <c r="AD28" i="9" s="1"/>
  <c r="AE28" i="9" s="1"/>
  <c r="AF28" i="9" s="1"/>
  <c r="AG28" i="9" s="1"/>
  <c r="B22" i="7" s="1"/>
  <c r="Y17" i="9"/>
  <c r="Z17" i="9" s="1"/>
  <c r="AB17" i="9" s="1"/>
  <c r="AD17" i="9" s="1"/>
  <c r="AE17" i="9"/>
  <c r="AF17" i="9" s="1"/>
  <c r="AG17" i="9" s="1"/>
  <c r="B11" i="7" s="1"/>
  <c r="Y31" i="9"/>
  <c r="Z31" i="9" s="1"/>
  <c r="AB31" i="9" s="1"/>
  <c r="AD31" i="9" s="1"/>
  <c r="Y27" i="9"/>
  <c r="Z27" i="9" s="1"/>
  <c r="AB27" i="9" s="1"/>
  <c r="AD27" i="9" s="1"/>
  <c r="Y24" i="9"/>
  <c r="Z24" i="9" s="1"/>
  <c r="AB24" i="9" s="1"/>
  <c r="AD24" i="9" s="1"/>
  <c r="Y35" i="9"/>
  <c r="Z35" i="9" s="1"/>
  <c r="AB35" i="9" s="1"/>
  <c r="AD35" i="9" s="1"/>
  <c r="Y14" i="9"/>
  <c r="Z14" i="9" s="1"/>
  <c r="AB14" i="9" s="1"/>
  <c r="AD14" i="9" s="1"/>
  <c r="Y23" i="9"/>
  <c r="Z23" i="9" s="1"/>
  <c r="AB23" i="9" s="1"/>
  <c r="AD23" i="9" s="1"/>
  <c r="Y29" i="9"/>
  <c r="Z29" i="9" s="1"/>
  <c r="AB29" i="9" s="1"/>
  <c r="AD29" i="9" s="1"/>
  <c r="AE36" i="9"/>
  <c r="AF36" i="9" s="1"/>
  <c r="AG36" i="9" s="1"/>
  <c r="B30" i="7" s="1"/>
  <c r="AE25" i="9"/>
  <c r="AF25" i="9" s="1"/>
  <c r="AG25" i="9" s="1"/>
  <c r="B19" i="7" s="1"/>
  <c r="Y21" i="9"/>
  <c r="Z21" i="9" s="1"/>
  <c r="AB21" i="9" s="1"/>
  <c r="AD21" i="9" s="1"/>
  <c r="Y18" i="9"/>
  <c r="Z18" i="9" s="1"/>
  <c r="AB18" i="9" s="1"/>
  <c r="AD18" i="9" s="1"/>
  <c r="AE26" i="9"/>
  <c r="AF26" i="9" s="1"/>
  <c r="AG26" i="9" s="1"/>
  <c r="B20" i="7" s="1"/>
  <c r="Y13" i="9"/>
  <c r="Z13" i="9" s="1"/>
  <c r="AB13" i="9" s="1"/>
  <c r="AD13" i="9" s="1"/>
  <c r="Y32" i="9"/>
  <c r="Z32" i="9" s="1"/>
  <c r="AB32" i="9" s="1"/>
  <c r="AD32" i="9" s="1"/>
  <c r="Y30" i="9"/>
  <c r="Z30" i="9" s="1"/>
  <c r="AB30" i="9" s="1"/>
  <c r="AD30" i="9" s="1"/>
  <c r="AE37" i="9"/>
  <c r="AF37" i="9" s="1"/>
  <c r="AG37" i="9" s="1"/>
  <c r="B31" i="7" s="1"/>
  <c r="Y34" i="9"/>
  <c r="Z34" i="9" s="1"/>
  <c r="AB34" i="9" s="1"/>
  <c r="AD34" i="9" s="1"/>
  <c r="Y22" i="9"/>
  <c r="Z22" i="9" s="1"/>
  <c r="AB22" i="9" s="1"/>
  <c r="AD22" i="9" s="1"/>
  <c r="Y20" i="9"/>
  <c r="Z20" i="9" s="1"/>
  <c r="AB20" i="9" s="1"/>
  <c r="AD20" i="9" s="1"/>
  <c r="Y16" i="9"/>
  <c r="Z16" i="9" s="1"/>
  <c r="AB16" i="9" s="1"/>
  <c r="AD16" i="9" s="1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8" i="9"/>
  <c r="P1" i="9"/>
  <c r="L1" i="9"/>
  <c r="G1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8" i="9"/>
  <c r="K41" i="9"/>
  <c r="K40" i="9"/>
  <c r="AE34" i="9" l="1"/>
  <c r="AF34" i="9" s="1"/>
  <c r="AG34" i="9" s="1"/>
  <c r="B28" i="7" s="1"/>
  <c r="AE32" i="9"/>
  <c r="AF32" i="9" s="1"/>
  <c r="AG32" i="9" s="1"/>
  <c r="B26" i="7" s="1"/>
  <c r="AE16" i="9"/>
  <c r="AF16" i="9" s="1"/>
  <c r="AG16" i="9" s="1"/>
  <c r="B10" i="7" s="1"/>
  <c r="AE30" i="9"/>
  <c r="AF30" i="9" s="1"/>
  <c r="AG30" i="9" s="1"/>
  <c r="B24" i="7" s="1"/>
  <c r="AE21" i="9"/>
  <c r="AF21" i="9" s="1"/>
  <c r="AG21" i="9" s="1"/>
  <c r="B15" i="7" s="1"/>
  <c r="AE22" i="9"/>
  <c r="AF22" i="9" s="1"/>
  <c r="AG22" i="9" s="1"/>
  <c r="B16" i="7" s="1"/>
  <c r="AE23" i="9"/>
  <c r="AF23" i="9" s="1"/>
  <c r="AG23" i="9" s="1"/>
  <c r="B17" i="7" s="1"/>
  <c r="AE13" i="9"/>
  <c r="AF13" i="9" s="1"/>
  <c r="AG13" i="9" s="1"/>
  <c r="B7" i="7" s="1"/>
  <c r="AE20" i="9"/>
  <c r="AF20" i="9" s="1"/>
  <c r="AG20" i="9" s="1"/>
  <c r="B14" i="7" s="1"/>
  <c r="AE18" i="9"/>
  <c r="AF18" i="9" s="1"/>
  <c r="AG18" i="9" s="1"/>
  <c r="B12" i="7" s="1"/>
  <c r="AE35" i="9"/>
  <c r="AF35" i="9" s="1"/>
  <c r="AG35" i="9" s="1"/>
  <c r="B29" i="7" s="1"/>
  <c r="AE14" i="9"/>
  <c r="AF14" i="9" s="1"/>
  <c r="AG14" i="9" s="1"/>
  <c r="B8" i="7" s="1"/>
  <c r="AE24" i="9"/>
  <c r="AF24" i="9" s="1"/>
  <c r="AG24" i="9" s="1"/>
  <c r="B18" i="7" s="1"/>
  <c r="AE31" i="9"/>
  <c r="AF31" i="9" s="1"/>
  <c r="AG31" i="9" s="1"/>
  <c r="B25" i="7" s="1"/>
  <c r="AE27" i="9"/>
  <c r="AF27" i="9" s="1"/>
  <c r="AG27" i="9" s="1"/>
  <c r="B21" i="7" s="1"/>
  <c r="AE29" i="9"/>
  <c r="AF29" i="9" s="1"/>
  <c r="AG29" i="9" s="1"/>
  <c r="B2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<sst xmlns="http://schemas.openxmlformats.org/spreadsheetml/2006/main" count="1289" uniqueCount="217">
  <si>
    <t>SARS-CoV-2 MN</t>
  </si>
  <si>
    <t xml:space="preserve">Date of experiment: </t>
  </si>
  <si>
    <t>24.05.24</t>
  </si>
  <si>
    <t>Day 5 read:</t>
  </si>
  <si>
    <t>29.05.24</t>
  </si>
  <si>
    <t>FM</t>
  </si>
  <si>
    <t xml:space="preserve">Samples to test </t>
  </si>
  <si>
    <t>Start dil.</t>
  </si>
  <si>
    <t>#</t>
  </si>
  <si>
    <t>P</t>
  </si>
  <si>
    <t>D</t>
  </si>
  <si>
    <t>Variant</t>
  </si>
  <si>
    <t>High 3</t>
  </si>
  <si>
    <t>1:20</t>
  </si>
  <si>
    <t>Dilution 1</t>
  </si>
  <si>
    <t>Vic01/TMPRSS2</t>
  </si>
  <si>
    <t>1678-044_pv2</t>
  </si>
  <si>
    <t>1678-044_PB1</t>
  </si>
  <si>
    <t>1678-047_pv2</t>
  </si>
  <si>
    <t>1678-047_post_v3</t>
  </si>
  <si>
    <t>1678-061_pv2</t>
  </si>
  <si>
    <t>1678-061_post_v3</t>
  </si>
  <si>
    <t>1678-065_pv2</t>
  </si>
  <si>
    <t>1678-065_post_v3</t>
  </si>
  <si>
    <t>Dilution 2</t>
  </si>
  <si>
    <t>1678-069 (008)_pv2</t>
  </si>
  <si>
    <t>1678-069 (008)_M9</t>
  </si>
  <si>
    <t>1678-070 (043)_pv2</t>
  </si>
  <si>
    <t>1678-070 (043)_post_v3</t>
  </si>
  <si>
    <t>1678-074_pv2</t>
  </si>
  <si>
    <t>1678-074_post_v3</t>
  </si>
  <si>
    <t>1678-097_pv2</t>
  </si>
  <si>
    <t>1678-097_post_v3</t>
  </si>
  <si>
    <t>Dilution 3</t>
  </si>
  <si>
    <t>1678-044(101)_post_inf_visit</t>
  </si>
  <si>
    <t>1678-061(117)_post_inf_visit</t>
  </si>
  <si>
    <t>1678-066(122)_post_inf_visit</t>
  </si>
  <si>
    <t>1678-070(126)_post_inf_visit</t>
  </si>
  <si>
    <t>1678-078(037)_post_inf_visit</t>
  </si>
  <si>
    <t>1678-090(144)_post_inf_visit</t>
  </si>
  <si>
    <t>1678-091(145)_post_inf_visit</t>
  </si>
  <si>
    <t>1678-095(149)_post_inf_visit</t>
  </si>
  <si>
    <t>Dilution 4</t>
  </si>
  <si>
    <t>1678-099(153)_post_inf_visit</t>
  </si>
  <si>
    <t>1678-SM_post_inf_visit</t>
  </si>
  <si>
    <t>NIBSC 21/338</t>
  </si>
  <si>
    <t>NIBSC 20/142</t>
  </si>
  <si>
    <t>Neg 4</t>
  </si>
  <si>
    <t>Dilution 5</t>
  </si>
  <si>
    <t>Dilution 6</t>
  </si>
  <si>
    <t>Dilution 7</t>
  </si>
  <si>
    <t>Dilution 8</t>
  </si>
  <si>
    <t>Dilution 9</t>
  </si>
  <si>
    <t>Dilution 10</t>
  </si>
  <si>
    <t>Dilution 11</t>
  </si>
  <si>
    <t>Dilution 12</t>
  </si>
  <si>
    <t>Dilution 13</t>
  </si>
  <si>
    <t>Dilution 14</t>
  </si>
  <si>
    <t>Dilution 15</t>
  </si>
  <si>
    <t>Dilution 16</t>
  </si>
  <si>
    <t>Dilution 17</t>
  </si>
  <si>
    <t>Dilution 18</t>
  </si>
  <si>
    <t>Dilution 19</t>
  </si>
  <si>
    <t>Dilution 20</t>
  </si>
  <si>
    <t>Dilution 21</t>
  </si>
  <si>
    <t>Dilution 22</t>
  </si>
  <si>
    <t>Dilution 23</t>
  </si>
  <si>
    <t>Dilution 24</t>
  </si>
  <si>
    <t>Dilution 25</t>
  </si>
  <si>
    <t>Dilution 26</t>
  </si>
  <si>
    <t>Dilution 27</t>
  </si>
  <si>
    <t>Dilution 28</t>
  </si>
  <si>
    <t>SARS-CoV-2 MN in Vero E6-TMPRSS2 cells</t>
  </si>
  <si>
    <t>Virus strain:</t>
  </si>
  <si>
    <t>Aus/Vic/01/2020</t>
  </si>
  <si>
    <t xml:space="preserve">Stock: </t>
  </si>
  <si>
    <t>Batch 10 - Vero P3, VeroSLAM P1 10.07.23 - S5-D-04</t>
  </si>
  <si>
    <t>Titre:</t>
  </si>
  <si>
    <t>10^7.4 in Vero-TMPRSS2</t>
  </si>
  <si>
    <t>Dilution plates</t>
  </si>
  <si>
    <t>Cell plates</t>
  </si>
  <si>
    <t>2x10^5 cells/ml</t>
  </si>
  <si>
    <t>-</t>
  </si>
  <si>
    <t>Plain MEM (dilution/cell wash)</t>
  </si>
  <si>
    <t>ml</t>
  </si>
  <si>
    <t>Aim for:</t>
  </si>
  <si>
    <t>Stock</t>
  </si>
  <si>
    <t>Serum-free Vero E6-TMPRSS2 media + TPCK trypsin</t>
  </si>
  <si>
    <t>10^3.5</t>
  </si>
  <si>
    <t>Diluted virus (100 TCID50/well)</t>
  </si>
  <si>
    <t>10^3.4</t>
  </si>
  <si>
    <t>Virus stock needed</t>
  </si>
  <si>
    <t>10^3.3</t>
  </si>
  <si>
    <t>+ virus media</t>
  </si>
  <si>
    <t>10^3.2</t>
  </si>
  <si>
    <t>10^3.1</t>
  </si>
  <si>
    <t>2 days before assay: seed cells</t>
  </si>
  <si>
    <t>Seed 96 well plates with 1.3 x 10^5 Vero E6-TMPRSS2 cells/ml in 100 ul volume</t>
  </si>
  <si>
    <t xml:space="preserve">Change media on Assay cell plates </t>
  </si>
  <si>
    <t xml:space="preserve">Flick off growth media </t>
  </si>
  <si>
    <t>Add 150 ul plain MEM to each well to wash, flick off</t>
  </si>
  <si>
    <t>Add 150 ul serum-free DMEM + 1ug/ml TPCK trypsin/well</t>
  </si>
  <si>
    <t>Add 180 ul/well to back titration plate</t>
  </si>
  <si>
    <t>Sera setup plate</t>
  </si>
  <si>
    <t xml:space="preserve">Add 126 ul plain DMEM to each well </t>
  </si>
  <si>
    <t xml:space="preserve">Add 14 ul sera </t>
  </si>
  <si>
    <t xml:space="preserve">Sera dilution plate </t>
  </si>
  <si>
    <t xml:space="preserve">Add 125 ul plain DMEM to each well </t>
  </si>
  <si>
    <t>Add extra 125 ul plain DMEM to cell control CC wells in row 12</t>
  </si>
  <si>
    <t xml:space="preserve">Add 125 ul sera from sera setup plate to row 1 of dilution plate </t>
  </si>
  <si>
    <t>Serially dilute 1:2 by transferring 125 ul from row 1 up to row 10</t>
  </si>
  <si>
    <t>Discard 125 ul from the final dilution in row 10</t>
  </si>
  <si>
    <t>Virus dilution and addition (PC3)</t>
  </si>
  <si>
    <t xml:space="preserve">Make virus stock dilution in DMEM/0.5% BSA </t>
  </si>
  <si>
    <t>Need 12.5 ml per sera dilution plate</t>
  </si>
  <si>
    <t xml:space="preserve">Add 125 ul virus stock dilution to rows 1-11 of dilution plate </t>
  </si>
  <si>
    <t xml:space="preserve">Incubate at room temperature for 1 hour </t>
  </si>
  <si>
    <t>Leave 3-5 min between adding virus to each dilution plate (corresponds to 4 cell plates later)</t>
  </si>
  <si>
    <t>Assay cell plates</t>
  </si>
  <si>
    <t>Add 50 ul of sera dilution + virus mix to corresponding assay cell plate wells in quadruplicates</t>
  </si>
  <si>
    <t>Incubate at 37°C for 1 hour</t>
  </si>
  <si>
    <r>
      <rPr>
        <u/>
        <sz val="12"/>
        <color rgb="FFFF0000"/>
        <rFont val="Calibri"/>
        <scheme val="minor"/>
      </rPr>
      <t xml:space="preserve">Note: Assay 2
</t>
    </r>
    <r>
      <rPr>
        <sz val="12"/>
        <color rgb="FFFF0000"/>
        <rFont val="Calibri"/>
        <scheme val="minor"/>
      </rPr>
      <t xml:space="preserve">Changed cells to newer Vero-TMPRSS2 passage. 
These were growing much slower so fewer cells seeded and confluency on day of assay was ~75% instead of 100%. 
Since cells got washed off a lot in initial assays when washing twice, </t>
    </r>
    <r>
      <rPr>
        <b/>
        <u/>
        <sz val="12"/>
        <color rgb="FFFF0000"/>
        <rFont val="Calibri"/>
        <scheme val="minor"/>
      </rPr>
      <t xml:space="preserve">washed only once </t>
    </r>
    <r>
      <rPr>
        <sz val="12"/>
        <color rgb="FFFF0000"/>
        <rFont val="Calibri"/>
        <scheme val="minor"/>
      </rPr>
      <t>after adsorption.</t>
    </r>
  </si>
  <si>
    <t>Remove virus/Ab mixture using multichannel pipette.</t>
  </si>
  <si>
    <t>Wash with 200 ul plain MEM media.</t>
  </si>
  <si>
    <t>Remove MEM using multichannel pipette.</t>
  </si>
  <si>
    <t>Repeat wash.</t>
  </si>
  <si>
    <t xml:space="preserve">Replace with 200 ul serum-free media + 1ug/ml TPCK trypsin. </t>
  </si>
  <si>
    <t>Incubate at 37°C</t>
  </si>
  <si>
    <t>Read and record CPE on day 5</t>
  </si>
  <si>
    <t>Calculate neutralisation titre in MN results template sheet</t>
  </si>
  <si>
    <t xml:space="preserve">Virus back titration </t>
  </si>
  <si>
    <t>Add 20 ul virus dilution to column 1 of rows ABCD</t>
  </si>
  <si>
    <t>Serially dilute 1:10 up the plate by transferring 20 ul column to column, discarding after column 11</t>
  </si>
  <si>
    <t>Column 12 is the cell control</t>
  </si>
  <si>
    <r>
      <rPr>
        <b/>
        <sz val="12"/>
        <color theme="1"/>
        <rFont val="Calibri"/>
        <family val="2"/>
        <scheme val="minor"/>
      </rPr>
      <t>Notes:</t>
    </r>
    <r>
      <rPr>
        <sz val="12"/>
        <color theme="1"/>
        <rFont val="Calibri"/>
        <family val="2"/>
        <scheme val="minor"/>
      </rPr>
      <t xml:space="preserve"> </t>
    </r>
  </si>
  <si>
    <t>SARS_COV_2 MN</t>
  </si>
  <si>
    <r>
      <t xml:space="preserve">+ = CPE; - = no CPE; </t>
    </r>
    <r>
      <rPr>
        <b/>
        <sz val="10"/>
        <color rgb="FF00B0F0"/>
        <rFont val="Verdana"/>
        <family val="2"/>
      </rPr>
      <t>C</t>
    </r>
    <r>
      <rPr>
        <b/>
        <sz val="10"/>
        <rFont val="Verdana"/>
        <family val="2"/>
      </rPr>
      <t xml:space="preserve"> = contamination assumed neg; </t>
    </r>
    <r>
      <rPr>
        <b/>
        <sz val="10"/>
        <color rgb="FFFF0000"/>
        <rFont val="Verdana"/>
        <family val="2"/>
      </rPr>
      <t>C</t>
    </r>
    <r>
      <rPr>
        <b/>
        <sz val="10"/>
        <rFont val="Verdana"/>
        <family val="2"/>
      </rPr>
      <t xml:space="preserve"> = contamination assumed pos; * = non-CPE rounding of cells; ? = unsure what on earth is happening</t>
    </r>
  </si>
  <si>
    <t>DO NOT CHANGE EQUATIONS</t>
  </si>
  <si>
    <t>enter data</t>
  </si>
  <si>
    <t>4'</t>
  </si>
  <si>
    <t>Plate #</t>
  </si>
  <si>
    <t>Neut ID</t>
  </si>
  <si>
    <t>Sample</t>
  </si>
  <si>
    <t>Starting dilution</t>
  </si>
  <si>
    <t>Virus control</t>
  </si>
  <si>
    <t>Cell control</t>
  </si>
  <si>
    <t>Count "-"s</t>
  </si>
  <si>
    <t>n/4</t>
  </si>
  <si>
    <t>text split</t>
  </si>
  <si>
    <t>"0"</t>
  </si>
  <si>
    <t>"1"</t>
  </si>
  <si>
    <t>1'</t>
  </si>
  <si>
    <t>"2"</t>
  </si>
  <si>
    <t>2'</t>
  </si>
  <si>
    <t>1'/2'</t>
  </si>
  <si>
    <t>"4"</t>
  </si>
  <si>
    <t>3'</t>
  </si>
  <si>
    <t>log10("0")</t>
  </si>
  <si>
    <t>3'+4'</t>
  </si>
  <si>
    <t>10^(3'+4')</t>
  </si>
  <si>
    <t>round to 1dp</t>
  </si>
  <si>
    <t>MN titre</t>
  </si>
  <si>
    <t>dil&lt;50%</t>
  </si>
  <si>
    <t>% +ve @dil&lt;50</t>
  </si>
  <si>
    <t>50-"1"</t>
  </si>
  <si>
    <t>% +ve @dil&gt;50</t>
  </si>
  <si>
    <t>"2"-"1"</t>
  </si>
  <si>
    <t>"3"</t>
  </si>
  <si>
    <t>log2</t>
  </si>
  <si>
    <t>"3"*"4"</t>
  </si>
  <si>
    <t>log dil&lt;50%</t>
  </si>
  <si>
    <t>P1</t>
  </si>
  <si>
    <t>----</t>
  </si>
  <si>
    <t>++-+</t>
  </si>
  <si>
    <t>++++</t>
  </si>
  <si>
    <t>--+-</t>
  </si>
  <si>
    <t>-+--</t>
  </si>
  <si>
    <t>--++</t>
  </si>
  <si>
    <t>P2</t>
  </si>
  <si>
    <t>---+</t>
  </si>
  <si>
    <t>+--+</t>
  </si>
  <si>
    <t>+++-</t>
  </si>
  <si>
    <t>-+-+</t>
  </si>
  <si>
    <t>P3</t>
  </si>
  <si>
    <t>+-++</t>
  </si>
  <si>
    <t>+---</t>
  </si>
  <si>
    <t>+-+-</t>
  </si>
  <si>
    <t>++--</t>
  </si>
  <si>
    <t>P4</t>
  </si>
  <si>
    <t>-+++</t>
  </si>
  <si>
    <t>P5</t>
  </si>
  <si>
    <t>-++-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</si>
  <si>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</si>
  <si>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</si>
  <si>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</si>
  <si>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</si>
  <si>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</si>
  <si>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</si>
  <si>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</si>
  <si>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</si>
  <si>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</si>
  <si>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</si>
  <si>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Back titration: need 3.3 (2.8-3.8)</t>
  </si>
  <si>
    <t>TCID50</t>
  </si>
  <si>
    <t>TCID50/ml</t>
  </si>
  <si>
    <t>Normal method 1</t>
  </si>
  <si>
    <t>Normal method 2</t>
  </si>
  <si>
    <t>Back titre + wash</t>
  </si>
  <si>
    <t>David's method</t>
  </si>
  <si>
    <t>Quality control</t>
  </si>
  <si>
    <t xml:space="preserve">Checked by: </t>
  </si>
  <si>
    <t xml:space="preserve">Date: </t>
  </si>
  <si>
    <t xml:space="preserve">Changes made: </t>
  </si>
  <si>
    <t>03.07.24</t>
  </si>
  <si>
    <t>08.07.24</t>
  </si>
  <si>
    <t>Vic01 MN titre 29.05.24</t>
  </si>
  <si>
    <t>Vic01 MN titre 08.07.24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</si>
</sst>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"/>
    <numFmt numFmtId="166" formatCode="0.000"/>
    <numFmt numFmtId="167" formatCode="0.0000"/>
  </numFmts>
  <fonts count="3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b/>
      <sz val="12"/>
      <color indexed="10"/>
      <name val="Verdana"/>
      <family val="2"/>
    </font>
    <font>
      <sz val="8"/>
      <name val="Calibri"/>
      <family val="2"/>
      <scheme val="minor"/>
    </font>
    <font>
      <b/>
      <sz val="10"/>
      <name val="Verdana"/>
      <family val="2"/>
    </font>
    <font>
      <b/>
      <sz val="8"/>
      <name val="Verdana"/>
      <family val="2"/>
    </font>
    <font>
      <sz val="12"/>
      <color theme="9"/>
      <name val="Calibri"/>
      <family val="2"/>
      <scheme val="minor"/>
    </font>
    <font>
      <b/>
      <sz val="10"/>
      <color rgb="FF00B0F0"/>
      <name val="Verdana"/>
      <family val="2"/>
    </font>
    <font>
      <b/>
      <sz val="10"/>
      <color rgb="FFFF0000"/>
      <name val="Verdana"/>
      <family val="2"/>
    </font>
    <font>
      <sz val="12"/>
      <color rgb="FF7030A0"/>
      <name val="Calibri"/>
      <family val="2"/>
      <scheme val="minor"/>
    </font>
    <font>
      <b/>
      <sz val="10"/>
      <color indexed="10"/>
      <name val="Verdana"/>
      <family val="2"/>
    </font>
    <font>
      <sz val="9"/>
      <name val="Verdana"/>
      <family val="2"/>
    </font>
    <font>
      <sz val="8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scheme val="minor"/>
    </font>
    <font>
      <b/>
      <u/>
      <sz val="12"/>
      <color rgb="FFFF0000"/>
      <name val="Calibri"/>
      <scheme val="minor"/>
    </font>
    <font>
      <u/>
      <sz val="12"/>
      <color rgb="FFFF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DFECE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F3E5EC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4C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0" fillId="0" borderId="0"/>
    <xf numFmtId="0" fontId="3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quotePrefix="1" applyFont="1"/>
    <xf numFmtId="165" fontId="8" fillId="0" borderId="2" xfId="0" applyNumberFormat="1" applyFont="1" applyBorder="1" applyAlignment="1">
      <alignment horizontal="center"/>
    </xf>
    <xf numFmtId="0" fontId="10" fillId="0" borderId="0" xfId="1"/>
    <xf numFmtId="49" fontId="10" fillId="0" borderId="0" xfId="1" applyNumberFormat="1"/>
    <xf numFmtId="0" fontId="10" fillId="2" borderId="0" xfId="1" applyFill="1" applyAlignment="1">
      <alignment horizontal="center"/>
    </xf>
    <xf numFmtId="49" fontId="10" fillId="0" borderId="0" xfId="1" applyNumberFormat="1" applyAlignment="1">
      <alignment horizontal="center"/>
    </xf>
    <xf numFmtId="0" fontId="10" fillId="3" borderId="0" xfId="1" applyFill="1" applyAlignment="1">
      <alignment horizontal="center"/>
    </xf>
    <xf numFmtId="0" fontId="10" fillId="4" borderId="0" xfId="1" applyFill="1" applyAlignment="1">
      <alignment horizontal="center"/>
    </xf>
    <xf numFmtId="0" fontId="10" fillId="0" borderId="1" xfId="1" applyBorder="1" applyAlignment="1">
      <alignment horizontal="center"/>
    </xf>
    <xf numFmtId="0" fontId="10" fillId="3" borderId="1" xfId="1" applyFill="1" applyBorder="1" applyAlignment="1">
      <alignment horizontal="center"/>
    </xf>
    <xf numFmtId="165" fontId="10" fillId="0" borderId="0" xfId="1" applyNumberFormat="1" applyAlignment="1">
      <alignment horizontal="center"/>
    </xf>
    <xf numFmtId="0" fontId="10" fillId="0" borderId="0" xfId="1" applyAlignment="1">
      <alignment horizontal="left"/>
    </xf>
    <xf numFmtId="49" fontId="10" fillId="0" borderId="0" xfId="1" quotePrefix="1" applyNumberFormat="1" applyAlignment="1">
      <alignment horizontal="center"/>
    </xf>
    <xf numFmtId="166" fontId="10" fillId="0" borderId="0" xfId="1" applyNumberFormat="1" applyAlignment="1">
      <alignment horizontal="center"/>
    </xf>
    <xf numFmtId="167" fontId="10" fillId="0" borderId="0" xfId="1" applyNumberFormat="1" applyAlignment="1">
      <alignment horizontal="center"/>
    </xf>
    <xf numFmtId="164" fontId="10" fillId="0" borderId="0" xfId="1" applyNumberFormat="1" applyAlignment="1">
      <alignment horizontal="center"/>
    </xf>
    <xf numFmtId="0" fontId="10" fillId="0" borderId="0" xfId="1" applyAlignment="1">
      <alignment horizontal="center"/>
    </xf>
    <xf numFmtId="0" fontId="10" fillId="0" borderId="0" xfId="1" applyAlignment="1">
      <alignment vertical="center"/>
    </xf>
    <xf numFmtId="0" fontId="10" fillId="4" borderId="0" xfId="1" applyFill="1" applyAlignment="1">
      <alignment horizontal="center" vertical="center"/>
    </xf>
    <xf numFmtId="0" fontId="10" fillId="2" borderId="0" xfId="1" applyFill="1" applyAlignment="1">
      <alignment horizontal="center" vertical="center"/>
    </xf>
    <xf numFmtId="0" fontId="10" fillId="0" borderId="0" xfId="1" applyAlignment="1">
      <alignment horizontal="center" vertical="center"/>
    </xf>
    <xf numFmtId="0" fontId="0" fillId="0" borderId="0" xfId="0" applyAlignment="1">
      <alignment horizontal="left"/>
    </xf>
    <xf numFmtId="1" fontId="10" fillId="0" borderId="0" xfId="1" applyNumberFormat="1" applyAlignment="1">
      <alignment horizontal="center"/>
    </xf>
    <xf numFmtId="165" fontId="10" fillId="0" borderId="1" xfId="1" applyNumberFormat="1" applyBorder="1" applyAlignment="1">
      <alignment horizontal="center"/>
    </xf>
    <xf numFmtId="0" fontId="10" fillId="0" borderId="1" xfId="1" applyBorder="1" applyAlignment="1">
      <alignment horizontal="left"/>
    </xf>
    <xf numFmtId="49" fontId="10" fillId="0" borderId="1" xfId="1" applyNumberFormat="1" applyBorder="1" applyAlignment="1">
      <alignment horizontal="center"/>
    </xf>
    <xf numFmtId="166" fontId="10" fillId="0" borderId="1" xfId="1" applyNumberFormat="1" applyBorder="1" applyAlignment="1">
      <alignment horizontal="center"/>
    </xf>
    <xf numFmtId="167" fontId="10" fillId="0" borderId="1" xfId="1" applyNumberFormat="1" applyBorder="1" applyAlignment="1">
      <alignment horizontal="center"/>
    </xf>
    <xf numFmtId="164" fontId="10" fillId="0" borderId="1" xfId="1" applyNumberFormat="1" applyBorder="1" applyAlignment="1">
      <alignment horizontal="center"/>
    </xf>
    <xf numFmtId="0" fontId="10" fillId="0" borderId="1" xfId="1" applyBorder="1"/>
    <xf numFmtId="0" fontId="13" fillId="0" borderId="0" xfId="1" quotePrefix="1" applyFont="1"/>
    <xf numFmtId="1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49" fontId="13" fillId="6" borderId="0" xfId="1" applyNumberFormat="1" applyFont="1" applyFill="1"/>
    <xf numFmtId="0" fontId="13" fillId="6" borderId="0" xfId="0" applyFont="1" applyFill="1" applyAlignment="1">
      <alignment horizontal="center"/>
    </xf>
    <xf numFmtId="2" fontId="13" fillId="6" borderId="0" xfId="0" applyNumberFormat="1" applyFont="1" applyFill="1" applyAlignment="1">
      <alignment horizontal="center"/>
    </xf>
    <xf numFmtId="0" fontId="10" fillId="7" borderId="0" xfId="1" applyFill="1"/>
    <xf numFmtId="49" fontId="10" fillId="7" borderId="0" xfId="1" applyNumberFormat="1" applyFill="1"/>
    <xf numFmtId="49" fontId="10" fillId="7" borderId="0" xfId="1" applyNumberFormat="1" applyFill="1" applyAlignment="1">
      <alignment horizontal="center"/>
    </xf>
    <xf numFmtId="0" fontId="13" fillId="7" borderId="0" xfId="1" applyFont="1" applyFill="1"/>
    <xf numFmtId="49" fontId="13" fillId="7" borderId="0" xfId="1" applyNumberFormat="1" applyFont="1" applyFill="1"/>
    <xf numFmtId="49" fontId="13" fillId="7" borderId="0" xfId="1" applyNumberFormat="1" applyFont="1" applyFill="1" applyAlignment="1">
      <alignment horizontal="center"/>
    </xf>
    <xf numFmtId="0" fontId="10" fillId="7" borderId="0" xfId="1" applyFill="1" applyAlignment="1">
      <alignment horizontal="center"/>
    </xf>
    <xf numFmtId="49" fontId="10" fillId="7" borderId="1" xfId="1" applyNumberFormat="1" applyFill="1" applyBorder="1"/>
    <xf numFmtId="0" fontId="10" fillId="7" borderId="2" xfId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9" fillId="3" borderId="0" xfId="1" applyFont="1" applyFill="1" applyAlignment="1">
      <alignment horizontal="center"/>
    </xf>
    <xf numFmtId="0" fontId="13" fillId="3" borderId="0" xfId="1" applyFont="1" applyFill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wrapText="1"/>
    </xf>
    <xf numFmtId="0" fontId="10" fillId="4" borderId="1" xfId="1" applyFill="1" applyBorder="1" applyAlignment="1">
      <alignment horizontal="center" vertical="center" wrapText="1"/>
    </xf>
    <xf numFmtId="0" fontId="10" fillId="2" borderId="1" xfId="1" applyFill="1" applyBorder="1" applyAlignment="1">
      <alignment horizontal="center" vertical="center"/>
    </xf>
    <xf numFmtId="14" fontId="5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5" fillId="0" borderId="1" xfId="0" applyNumberFormat="1" applyFont="1" applyBorder="1" applyAlignment="1">
      <alignment horizontal="right"/>
    </xf>
    <xf numFmtId="0" fontId="13" fillId="0" borderId="0" xfId="1" applyFont="1" applyAlignment="1">
      <alignment horizontal="left" vertical="center"/>
    </xf>
    <xf numFmtId="49" fontId="13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6" borderId="0" xfId="0" quotePrefix="1" applyFont="1" applyFill="1" applyAlignment="1">
      <alignment horizontal="center"/>
    </xf>
    <xf numFmtId="49" fontId="10" fillId="0" borderId="1" xfId="1" quotePrefix="1" applyNumberFormat="1" applyBorder="1" applyAlignment="1">
      <alignment horizontal="center"/>
    </xf>
    <xf numFmtId="0" fontId="4" fillId="0" borderId="8" xfId="0" applyFont="1" applyBorder="1"/>
    <xf numFmtId="0" fontId="4" fillId="0" borderId="0" xfId="0" applyFont="1"/>
    <xf numFmtId="0" fontId="9" fillId="0" borderId="8" xfId="0" applyFont="1" applyBorder="1"/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9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67" fontId="9" fillId="5" borderId="9" xfId="0" applyNumberFormat="1" applyFont="1" applyFill="1" applyBorder="1" applyAlignment="1">
      <alignment horizontal="center"/>
    </xf>
    <xf numFmtId="0" fontId="9" fillId="5" borderId="8" xfId="0" applyFont="1" applyFill="1" applyBorder="1"/>
    <xf numFmtId="167" fontId="9" fillId="5" borderId="0" xfId="0" applyNumberFormat="1" applyFont="1" applyFill="1" applyAlignment="1">
      <alignment horizontal="center"/>
    </xf>
    <xf numFmtId="0" fontId="9" fillId="5" borderId="0" xfId="0" quotePrefix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8" xfId="0" quotePrefix="1" applyFont="1" applyFill="1" applyBorder="1"/>
    <xf numFmtId="164" fontId="9" fillId="5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7" fontId="9" fillId="5" borderId="14" xfId="0" applyNumberFormat="1" applyFont="1" applyFill="1" applyBorder="1" applyAlignment="1">
      <alignment horizontal="center"/>
    </xf>
    <xf numFmtId="0" fontId="9" fillId="0" borderId="12" xfId="0" quotePrefix="1" applyFont="1" applyBorder="1"/>
    <xf numFmtId="1" fontId="9" fillId="0" borderId="13" xfId="0" applyNumberFormat="1" applyFont="1" applyBorder="1" applyAlignment="1">
      <alignment horizontal="center"/>
    </xf>
    <xf numFmtId="0" fontId="9" fillId="0" borderId="13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4" fillId="0" borderId="5" xfId="0" applyFont="1" applyBorder="1"/>
    <xf numFmtId="0" fontId="9" fillId="0" borderId="0" xfId="1" quotePrefix="1" applyFont="1"/>
    <xf numFmtId="0" fontId="9" fillId="0" borderId="0" xfId="1" applyFont="1"/>
    <xf numFmtId="0" fontId="9" fillId="0" borderId="13" xfId="1" quotePrefix="1" applyFont="1" applyBorder="1"/>
    <xf numFmtId="0" fontId="9" fillId="0" borderId="13" xfId="1" quotePrefix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6" fillId="9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3" xfId="0" applyBorder="1" applyAlignment="1">
      <alignment horizontal="center"/>
    </xf>
    <xf numFmtId="14" fontId="22" fillId="0" borderId="1" xfId="0" applyNumberFormat="1" applyFont="1" applyBorder="1"/>
    <xf numFmtId="0" fontId="9" fillId="9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24" fillId="0" borderId="1" xfId="0" applyNumberFormat="1" applyFont="1" applyBorder="1"/>
    <xf numFmtId="1" fontId="24" fillId="0" borderId="0" xfId="0" applyNumberFormat="1" applyFont="1"/>
    <xf numFmtId="1" fontId="25" fillId="0" borderId="1" xfId="0" applyNumberFormat="1" applyFont="1" applyBorder="1" applyAlignment="1">
      <alignment horizontal="center" wrapText="1"/>
    </xf>
    <xf numFmtId="1" fontId="24" fillId="0" borderId="2" xfId="0" quotePrefix="1" applyNumberFormat="1" applyFont="1" applyBorder="1" applyAlignment="1">
      <alignment horizontal="center"/>
    </xf>
    <xf numFmtId="165" fontId="26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4" fontId="23" fillId="0" borderId="1" xfId="0" applyNumberFormat="1" applyFont="1" applyBorder="1"/>
    <xf numFmtId="14" fontId="22" fillId="0" borderId="1" xfId="0" applyNumberFormat="1" applyFont="1" applyBorder="1" applyAlignment="1">
      <alignment horizontal="right"/>
    </xf>
    <xf numFmtId="14" fontId="2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49" fontId="10" fillId="10" borderId="0" xfId="1" applyNumberFormat="1" applyFill="1" applyAlignment="1">
      <alignment horizontal="center"/>
    </xf>
    <xf numFmtId="0" fontId="10" fillId="10" borderId="0" xfId="1" applyFill="1" applyAlignment="1">
      <alignment horizontal="center"/>
    </xf>
    <xf numFmtId="164" fontId="10" fillId="10" borderId="0" xfId="1" applyNumberFormat="1" applyFill="1" applyAlignment="1">
      <alignment horizontal="center"/>
    </xf>
    <xf numFmtId="49" fontId="10" fillId="10" borderId="1" xfId="1" applyNumberFormat="1" applyFill="1" applyBorder="1" applyAlignment="1">
      <alignment horizontal="center"/>
    </xf>
    <xf numFmtId="0" fontId="10" fillId="10" borderId="1" xfId="1" applyFill="1" applyBorder="1" applyAlignment="1">
      <alignment horizontal="center"/>
    </xf>
    <xf numFmtId="164" fontId="10" fillId="10" borderId="1" xfId="1" applyNumberFormat="1" applyFill="1" applyBorder="1" applyAlignment="1">
      <alignment horizontal="center"/>
    </xf>
    <xf numFmtId="0" fontId="3" fillId="0" borderId="2" xfId="2" applyBorder="1"/>
    <xf numFmtId="0" fontId="1" fillId="0" borderId="0" xfId="0" applyFont="1"/>
    <xf numFmtId="0" fontId="13" fillId="6" borderId="0" xfId="1" applyFont="1" applyFill="1" applyAlignment="1">
      <alignment vertical="center"/>
    </xf>
    <xf numFmtId="0" fontId="0" fillId="11" borderId="0" xfId="0" applyFill="1"/>
    <xf numFmtId="14" fontId="5" fillId="8" borderId="1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textRotation="90"/>
    </xf>
    <xf numFmtId="165" fontId="15" fillId="0" borderId="3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left" vertical="top"/>
    </xf>
    <xf numFmtId="0" fontId="4" fillId="9" borderId="6" xfId="0" applyFont="1" applyFill="1" applyBorder="1" applyAlignment="1">
      <alignment horizontal="left"/>
    </xf>
    <xf numFmtId="0" fontId="4" fillId="9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30" fillId="11" borderId="0" xfId="0" applyFont="1" applyFill="1" applyAlignment="1">
      <alignment horizontal="center" wrapText="1"/>
    </xf>
    <xf numFmtId="0" fontId="29" fillId="11" borderId="0" xfId="0" applyFont="1" applyFill="1" applyAlignment="1">
      <alignment horizontal="center"/>
    </xf>
    <xf numFmtId="0" fontId="10" fillId="0" borderId="0" xfId="1" applyAlignment="1">
      <alignment horizontal="center" vertical="center" wrapText="1"/>
    </xf>
    <xf numFmtId="0" fontId="10" fillId="0" borderId="1" xfId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0" fillId="0" borderId="0" xfId="1" applyAlignment="1">
      <alignment horizontal="center" vertical="center"/>
    </xf>
    <xf numFmtId="14" fontId="22" fillId="8" borderId="1" xfId="0" applyNumberFormat="1" applyFont="1" applyFill="1" applyBorder="1" applyAlignment="1">
      <alignment horizontal="center"/>
    </xf>
    <xf numFmtId="0" fontId="10" fillId="10" borderId="0" xfId="1" applyFill="1" applyAlignment="1">
      <alignment horizontal="center" vertical="center"/>
    </xf>
    <xf numFmtId="0" fontId="10" fillId="10" borderId="1" xfId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49" fontId="20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1" fillId="2" borderId="0" xfId="1" applyFont="1" applyFill="1" applyAlignment="1">
      <alignment horizontal="center"/>
    </xf>
    <xf numFmtId="0" fontId="20" fillId="10" borderId="0" xfId="0" applyFont="1" applyFill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4" xfId="3" xr:uid="{00000000-0005-0000-0000-000004000000}"/>
  </cellStyles>
  <dxfs count="7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theme="4" tint="0.79998168889431442"/>
        </patternFill>
      </fill>
    </dxf>
    <dxf>
      <fill>
        <patternFill>
          <bgColor rgb="FFD8EFF4"/>
        </patternFill>
      </fill>
    </dxf>
    <dxf>
      <fill>
        <patternFill>
          <bgColor rgb="FFFCE8D0"/>
        </patternFill>
      </fill>
    </dxf>
    <dxf>
      <fill>
        <patternFill>
          <bgColor rgb="FFE1EEDE"/>
        </patternFill>
      </fill>
    </dxf>
    <dxf>
      <fill>
        <patternFill>
          <bgColor rgb="FFF2DAEC"/>
        </patternFill>
      </fill>
    </dxf>
    <dxf>
      <fill>
        <patternFill>
          <bgColor rgb="FFE1D8F4"/>
        </patternFill>
      </fill>
    </dxf>
    <dxf>
      <fill>
        <patternFill>
          <bgColor rgb="FFF7F0D5"/>
        </patternFill>
      </fill>
    </dxf>
    <dxf>
      <fill>
        <patternFill>
          <bgColor rgb="FFCCFFCC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rgb="FFF7F0D5"/>
        </patternFill>
      </fill>
    </dxf>
    <dxf>
      <fill>
        <patternFill>
          <bgColor rgb="FFE1D8F4"/>
        </patternFill>
      </fill>
    </dxf>
    <dxf>
      <fill>
        <patternFill>
          <bgColor rgb="FFF2DAEC"/>
        </patternFill>
      </fill>
    </dxf>
    <dxf>
      <fill>
        <patternFill>
          <bgColor rgb="FFE1EEDE"/>
        </patternFill>
      </fill>
    </dxf>
    <dxf>
      <fill>
        <patternFill>
          <bgColor rgb="FFFCE8D0"/>
        </patternFill>
      </fill>
    </dxf>
    <dxf>
      <fill>
        <patternFill>
          <bgColor rgb="FFD8EFF4"/>
        </patternFill>
      </fill>
    </dxf>
    <dxf>
      <fill>
        <patternFill>
          <bgColor theme="9" tint="0.59996337778862885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theme="4" tint="0.79998168889431442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D8EFF4"/>
        </patternFill>
      </fill>
    </dxf>
    <dxf>
      <fill>
        <patternFill>
          <bgColor rgb="FFFCE8D0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rgb="FFE1EEDE"/>
        </patternFill>
      </fill>
    </dxf>
    <dxf>
      <fill>
        <patternFill>
          <bgColor rgb="FFF2DAEC"/>
        </patternFill>
      </fill>
    </dxf>
    <dxf>
      <fill>
        <patternFill>
          <bgColor rgb="FFE1D8F4"/>
        </patternFill>
      </fill>
    </dxf>
    <dxf>
      <fill>
        <patternFill>
          <bgColor rgb="FFF7F0D5"/>
        </patternFill>
      </fill>
    </dxf>
    <dxf>
      <fill>
        <patternFill>
          <bgColor rgb="FFCCFFCC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FCCCC"/>
      <color rgb="FFF3E5EC"/>
      <color rgb="FFFF9F9F"/>
      <color rgb="FFE5FFE5"/>
      <color rgb="FFFFD3D3"/>
      <color rgb="FFCCFFCC"/>
      <color rgb="FFCAF5E2"/>
      <color rgb="FFD3FFEB"/>
      <color rgb="FFDEEDFA"/>
      <color rgb="FFFAF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871361</xdr:colOff>
      <xdr:row>31</xdr:row>
      <xdr:rowOff>71517</xdr:rowOff>
    </xdr:from>
    <xdr:ext cx="3096022" cy="1114777"/>
    <xdr:pic>
      <xdr:nvPicPr>
        <xdr:cNvPr id="4" name="Picture 3">
          <a:extLst>
            <a:ext uri="{FF2B5EF4-FFF2-40B4-BE49-F238E27FC236}">
              <a16:creationId xmlns:a16="http://schemas.microsoft.com/office/drawing/2014/main" id="{D58F874D-39E3-314F-B018-C1AC828CF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96"/>
        <a:stretch/>
      </xdr:blipFill>
      <xdr:spPr>
        <a:xfrm>
          <a:off x="16644761" y="22156817"/>
          <a:ext cx="3096022" cy="11147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83"/>
  <sheetViews>
    <sheetView topLeftCell="A20" zoomScale="80" zoomScaleNormal="80" workbookViewId="0">
      <selection activeCell="K34" sqref="K34"/>
    </sheetView>
  </sheetViews>
  <sheetFormatPr defaultColWidth="10.875" defaultRowHeight="15.75" x14ac:dyDescent="0.25"/>
  <cols>
    <col min="1" max="1" width="33.5" customWidth="1"/>
    <col min="2" max="2" width="4.375" style="115" customWidth="1"/>
    <col min="3" max="3" width="5.875" customWidth="1"/>
    <col min="4" max="14" width="5.875" style="4" customWidth="1"/>
    <col min="15" max="15" width="6.625" style="4" customWidth="1"/>
    <col min="16" max="16" width="5.875" style="4" customWidth="1"/>
    <col min="17" max="24" width="5.875" customWidth="1"/>
  </cols>
  <sheetData>
    <row r="1" spans="1:20" s="64" customFormat="1" ht="21" x14ac:dyDescent="0.35">
      <c r="A1" s="62" t="s">
        <v>0</v>
      </c>
      <c r="B1" s="114"/>
      <c r="C1" s="63"/>
      <c r="D1" s="65"/>
      <c r="E1" s="63"/>
      <c r="F1" s="63"/>
      <c r="G1" s="62"/>
      <c r="H1" s="66" t="s">
        <v>1</v>
      </c>
      <c r="I1" s="137" t="s">
        <v>2</v>
      </c>
      <c r="J1" s="137"/>
      <c r="K1" s="62"/>
      <c r="L1" s="62"/>
      <c r="M1" s="66" t="s">
        <v>3</v>
      </c>
      <c r="N1" s="137" t="s">
        <v>4</v>
      </c>
      <c r="O1" s="137"/>
      <c r="P1" s="65"/>
      <c r="Q1" s="62"/>
      <c r="R1" s="137" t="s">
        <v>5</v>
      </c>
      <c r="S1" s="137"/>
      <c r="T1" s="63"/>
    </row>
    <row r="2" spans="1:20" x14ac:dyDescent="0.25">
      <c r="D2"/>
      <c r="Q2" s="4"/>
    </row>
    <row r="3" spans="1:20" ht="27.75" x14ac:dyDescent="0.35">
      <c r="A3" s="2" t="s">
        <v>6</v>
      </c>
      <c r="B3" s="116" t="s">
        <v>7</v>
      </c>
      <c r="C3" s="118" t="s">
        <v>8</v>
      </c>
      <c r="D3" s="119" t="s">
        <v>9</v>
      </c>
      <c r="E3" s="120" t="s">
        <v>10</v>
      </c>
      <c r="F3" s="38" t="s">
        <v>11</v>
      </c>
      <c r="G3"/>
      <c r="H3"/>
      <c r="I3"/>
      <c r="J3"/>
      <c r="K3"/>
      <c r="L3"/>
      <c r="M3"/>
      <c r="N3"/>
      <c r="O3"/>
      <c r="P3"/>
    </row>
    <row r="4" spans="1:20" ht="15.95" customHeight="1" x14ac:dyDescent="0.25">
      <c r="A4" s="133" t="s">
        <v>12</v>
      </c>
      <c r="B4" s="117" t="s">
        <v>13</v>
      </c>
      <c r="C4" s="7">
        <v>1</v>
      </c>
      <c r="D4" s="142">
        <v>1</v>
      </c>
      <c r="E4" s="138" t="s">
        <v>14</v>
      </c>
      <c r="F4" s="140" t="s">
        <v>15</v>
      </c>
      <c r="G4"/>
      <c r="H4"/>
      <c r="I4"/>
      <c r="J4"/>
      <c r="K4"/>
      <c r="L4"/>
      <c r="M4"/>
      <c r="N4"/>
      <c r="O4"/>
      <c r="P4"/>
    </row>
    <row r="5" spans="1:20" x14ac:dyDescent="0.25">
      <c r="A5" s="133" t="s">
        <v>16</v>
      </c>
      <c r="B5" s="117" t="s">
        <v>13</v>
      </c>
      <c r="C5" s="7">
        <v>2</v>
      </c>
      <c r="D5" s="144"/>
      <c r="E5" s="139"/>
      <c r="F5" s="140"/>
      <c r="G5"/>
      <c r="H5"/>
      <c r="I5"/>
      <c r="J5"/>
      <c r="K5"/>
      <c r="L5"/>
      <c r="M5"/>
      <c r="N5"/>
      <c r="O5"/>
      <c r="P5"/>
    </row>
    <row r="6" spans="1:20" x14ac:dyDescent="0.25">
      <c r="A6" s="133" t="s">
        <v>17</v>
      </c>
      <c r="B6" s="117" t="s">
        <v>13</v>
      </c>
      <c r="C6" s="7">
        <v>3</v>
      </c>
      <c r="D6" s="142">
        <v>2</v>
      </c>
      <c r="E6" s="139"/>
      <c r="F6" s="140"/>
      <c r="G6"/>
      <c r="H6"/>
      <c r="I6"/>
      <c r="J6"/>
      <c r="K6"/>
      <c r="L6"/>
      <c r="M6"/>
      <c r="N6"/>
      <c r="O6"/>
      <c r="P6"/>
    </row>
    <row r="7" spans="1:20" x14ac:dyDescent="0.25">
      <c r="A7" s="133" t="s">
        <v>18</v>
      </c>
      <c r="B7" s="117" t="s">
        <v>13</v>
      </c>
      <c r="C7" s="7">
        <v>4</v>
      </c>
      <c r="D7" s="144"/>
      <c r="E7" s="139"/>
      <c r="F7" s="140"/>
      <c r="G7"/>
      <c r="H7"/>
      <c r="I7"/>
      <c r="J7"/>
      <c r="K7"/>
      <c r="L7"/>
      <c r="M7"/>
      <c r="N7"/>
      <c r="O7"/>
      <c r="P7"/>
    </row>
    <row r="8" spans="1:20" x14ac:dyDescent="0.25">
      <c r="A8" s="133" t="s">
        <v>19</v>
      </c>
      <c r="B8" s="117" t="s">
        <v>13</v>
      </c>
      <c r="C8" s="7">
        <v>5</v>
      </c>
      <c r="D8" s="142">
        <v>3</v>
      </c>
      <c r="E8" s="139"/>
      <c r="F8" s="140"/>
      <c r="G8"/>
      <c r="H8"/>
      <c r="I8"/>
      <c r="J8"/>
      <c r="K8"/>
      <c r="L8"/>
      <c r="M8"/>
      <c r="N8"/>
      <c r="O8"/>
      <c r="P8"/>
    </row>
    <row r="9" spans="1:20" x14ac:dyDescent="0.25">
      <c r="A9" s="133" t="s">
        <v>20</v>
      </c>
      <c r="B9" s="117" t="s">
        <v>13</v>
      </c>
      <c r="C9" s="7">
        <v>6</v>
      </c>
      <c r="D9" s="144"/>
      <c r="E9" s="139"/>
      <c r="F9" s="140"/>
      <c r="G9"/>
      <c r="H9"/>
      <c r="I9"/>
      <c r="J9"/>
      <c r="K9"/>
      <c r="L9"/>
      <c r="M9"/>
      <c r="N9"/>
      <c r="O9"/>
      <c r="P9"/>
    </row>
    <row r="10" spans="1:20" x14ac:dyDescent="0.25">
      <c r="A10" s="133" t="s">
        <v>21</v>
      </c>
      <c r="B10" s="117" t="s">
        <v>13</v>
      </c>
      <c r="C10" s="7">
        <v>7</v>
      </c>
      <c r="D10" s="142">
        <v>4</v>
      </c>
      <c r="E10" s="139"/>
      <c r="F10" s="140"/>
      <c r="G10"/>
      <c r="H10"/>
      <c r="I10"/>
      <c r="J10"/>
      <c r="K10"/>
      <c r="L10"/>
      <c r="M10"/>
      <c r="N10"/>
      <c r="O10"/>
      <c r="P10"/>
    </row>
    <row r="11" spans="1:20" x14ac:dyDescent="0.25">
      <c r="A11" s="133" t="s">
        <v>22</v>
      </c>
      <c r="B11" s="117" t="s">
        <v>13</v>
      </c>
      <c r="C11" s="7">
        <v>8</v>
      </c>
      <c r="D11" s="144"/>
      <c r="E11" s="139"/>
      <c r="F11" s="140"/>
      <c r="G11"/>
      <c r="H11"/>
      <c r="I11"/>
      <c r="J11"/>
      <c r="K11"/>
      <c r="L11"/>
      <c r="M11"/>
      <c r="N11"/>
      <c r="O11"/>
      <c r="P11"/>
    </row>
    <row r="12" spans="1:20" x14ac:dyDescent="0.25">
      <c r="A12" s="133" t="s">
        <v>23</v>
      </c>
      <c r="B12" s="117" t="s">
        <v>13</v>
      </c>
      <c r="C12" s="7">
        <v>9</v>
      </c>
      <c r="D12" s="142">
        <v>5</v>
      </c>
      <c r="E12" s="138" t="s">
        <v>24</v>
      </c>
      <c r="F12" s="140" t="s">
        <v>15</v>
      </c>
      <c r="G12"/>
      <c r="H12"/>
      <c r="I12"/>
      <c r="J12"/>
      <c r="K12"/>
      <c r="L12"/>
      <c r="M12"/>
      <c r="N12"/>
      <c r="O12"/>
      <c r="P12"/>
    </row>
    <row r="13" spans="1:20" x14ac:dyDescent="0.25">
      <c r="A13" s="133" t="s">
        <v>25</v>
      </c>
      <c r="B13" s="117" t="s">
        <v>13</v>
      </c>
      <c r="C13" s="7">
        <v>10</v>
      </c>
      <c r="D13" s="144"/>
      <c r="E13" s="139"/>
      <c r="F13" s="140"/>
      <c r="G13"/>
      <c r="H13"/>
      <c r="I13"/>
      <c r="J13"/>
      <c r="K13"/>
      <c r="L13"/>
      <c r="M13"/>
      <c r="N13"/>
      <c r="O13"/>
      <c r="P13"/>
    </row>
    <row r="14" spans="1:20" x14ac:dyDescent="0.25">
      <c r="A14" s="133" t="s">
        <v>26</v>
      </c>
      <c r="B14" s="117" t="s">
        <v>13</v>
      </c>
      <c r="C14" s="7">
        <v>11</v>
      </c>
      <c r="D14" s="142">
        <v>6</v>
      </c>
      <c r="E14" s="139"/>
      <c r="F14" s="140"/>
      <c r="G14"/>
      <c r="H14"/>
      <c r="I14"/>
      <c r="J14"/>
      <c r="K14"/>
      <c r="L14"/>
      <c r="M14"/>
      <c r="N14"/>
      <c r="O14"/>
      <c r="P14"/>
    </row>
    <row r="15" spans="1:20" x14ac:dyDescent="0.25">
      <c r="A15" s="133" t="s">
        <v>27</v>
      </c>
      <c r="B15" s="117" t="s">
        <v>13</v>
      </c>
      <c r="C15" s="7">
        <v>12</v>
      </c>
      <c r="D15" s="144"/>
      <c r="E15" s="139"/>
      <c r="F15" s="140"/>
      <c r="G15"/>
      <c r="H15"/>
      <c r="I15"/>
      <c r="J15"/>
      <c r="K15"/>
      <c r="L15"/>
      <c r="M15"/>
      <c r="N15"/>
      <c r="O15"/>
      <c r="P15"/>
    </row>
    <row r="16" spans="1:20" ht="15.95" customHeight="1" x14ac:dyDescent="0.25">
      <c r="A16" s="133" t="s">
        <v>28</v>
      </c>
      <c r="B16" s="117" t="s">
        <v>13</v>
      </c>
      <c r="C16" s="7">
        <v>13</v>
      </c>
      <c r="D16" s="142">
        <v>7</v>
      </c>
      <c r="E16" s="139"/>
      <c r="F16" s="140"/>
      <c r="G16"/>
      <c r="H16"/>
      <c r="I16"/>
      <c r="J16"/>
      <c r="K16"/>
      <c r="L16"/>
      <c r="M16"/>
      <c r="N16"/>
      <c r="O16"/>
      <c r="P16"/>
    </row>
    <row r="17" spans="1:16" x14ac:dyDescent="0.25">
      <c r="A17" s="133" t="s">
        <v>29</v>
      </c>
      <c r="B17" s="117" t="s">
        <v>13</v>
      </c>
      <c r="C17" s="7">
        <v>14</v>
      </c>
      <c r="D17" s="144"/>
      <c r="E17" s="139"/>
      <c r="F17" s="140"/>
      <c r="G17"/>
      <c r="H17"/>
      <c r="I17"/>
      <c r="J17"/>
      <c r="K17"/>
      <c r="L17"/>
      <c r="M17"/>
      <c r="N17"/>
      <c r="O17"/>
      <c r="P17"/>
    </row>
    <row r="18" spans="1:16" x14ac:dyDescent="0.25">
      <c r="A18" s="133" t="s">
        <v>30</v>
      </c>
      <c r="B18" s="117" t="s">
        <v>13</v>
      </c>
      <c r="C18" s="7">
        <v>15</v>
      </c>
      <c r="D18" s="142">
        <v>8</v>
      </c>
      <c r="E18" s="139"/>
      <c r="F18" s="140"/>
      <c r="G18"/>
      <c r="H18"/>
      <c r="I18"/>
      <c r="J18"/>
      <c r="K18"/>
      <c r="L18"/>
      <c r="M18"/>
      <c r="N18"/>
      <c r="O18"/>
      <c r="P18"/>
    </row>
    <row r="19" spans="1:16" x14ac:dyDescent="0.25">
      <c r="A19" s="133" t="s">
        <v>31</v>
      </c>
      <c r="B19" s="117" t="s">
        <v>13</v>
      </c>
      <c r="C19" s="7">
        <v>16</v>
      </c>
      <c r="D19" s="144"/>
      <c r="E19" s="139"/>
      <c r="F19" s="140"/>
      <c r="G19"/>
      <c r="H19"/>
      <c r="I19"/>
      <c r="J19"/>
      <c r="K19"/>
      <c r="L19"/>
      <c r="M19"/>
      <c r="N19"/>
      <c r="O19"/>
      <c r="P19"/>
    </row>
    <row r="20" spans="1:16" x14ac:dyDescent="0.25">
      <c r="A20" s="133" t="s">
        <v>32</v>
      </c>
      <c r="B20" s="117" t="s">
        <v>13</v>
      </c>
      <c r="C20" s="7">
        <v>17</v>
      </c>
      <c r="D20" s="142">
        <v>9</v>
      </c>
      <c r="E20" s="138" t="s">
        <v>33</v>
      </c>
      <c r="F20" s="140" t="s">
        <v>15</v>
      </c>
      <c r="G20"/>
      <c r="H20"/>
      <c r="I20"/>
      <c r="J20"/>
      <c r="K20"/>
      <c r="L20"/>
      <c r="M20"/>
      <c r="N20"/>
      <c r="O20"/>
      <c r="P20"/>
    </row>
    <row r="21" spans="1:16" x14ac:dyDescent="0.25">
      <c r="A21" s="52" t="s">
        <v>34</v>
      </c>
      <c r="B21" s="117" t="s">
        <v>13</v>
      </c>
      <c r="C21" s="7">
        <v>18</v>
      </c>
      <c r="D21" s="144"/>
      <c r="E21" s="139"/>
      <c r="F21" s="140"/>
      <c r="G21"/>
      <c r="H21"/>
      <c r="I21"/>
      <c r="J21"/>
      <c r="K21"/>
      <c r="L21"/>
      <c r="M21"/>
      <c r="N21"/>
      <c r="O21"/>
      <c r="P21"/>
    </row>
    <row r="22" spans="1:16" x14ac:dyDescent="0.25">
      <c r="A22" s="52" t="s">
        <v>35</v>
      </c>
      <c r="B22" s="117" t="s">
        <v>13</v>
      </c>
      <c r="C22" s="7">
        <v>19</v>
      </c>
      <c r="D22" s="142">
        <v>10</v>
      </c>
      <c r="E22" s="139"/>
      <c r="F22" s="140"/>
      <c r="G22"/>
      <c r="H22"/>
      <c r="I22"/>
      <c r="J22"/>
      <c r="K22"/>
      <c r="L22"/>
      <c r="M22"/>
      <c r="N22"/>
      <c r="O22"/>
      <c r="P22"/>
    </row>
    <row r="23" spans="1:16" s="3" customFormat="1" x14ac:dyDescent="0.25">
      <c r="A23" s="52" t="s">
        <v>36</v>
      </c>
      <c r="B23" s="117" t="s">
        <v>13</v>
      </c>
      <c r="C23" s="7">
        <v>20</v>
      </c>
      <c r="D23" s="144"/>
      <c r="E23" s="139"/>
      <c r="F23" s="140"/>
      <c r="G23" s="134"/>
      <c r="H23" s="134"/>
      <c r="I23" s="134"/>
      <c r="J23" s="134"/>
      <c r="K23" s="134"/>
      <c r="L23" s="134"/>
      <c r="M23" s="134"/>
      <c r="N23" s="134"/>
      <c r="O23" s="134"/>
      <c r="P23" s="134"/>
    </row>
    <row r="24" spans="1:16" x14ac:dyDescent="0.25">
      <c r="A24" s="52" t="s">
        <v>37</v>
      </c>
      <c r="B24" s="117" t="s">
        <v>13</v>
      </c>
      <c r="C24" s="7">
        <v>21</v>
      </c>
      <c r="D24" s="142">
        <v>11</v>
      </c>
      <c r="E24" s="139"/>
      <c r="F24" s="140"/>
      <c r="G24"/>
      <c r="H24"/>
      <c r="I24"/>
      <c r="J24"/>
      <c r="K24"/>
      <c r="L24"/>
      <c r="M24"/>
      <c r="N24"/>
      <c r="O24"/>
      <c r="P24"/>
    </row>
    <row r="25" spans="1:16" x14ac:dyDescent="0.25">
      <c r="A25" s="52" t="s">
        <v>38</v>
      </c>
      <c r="B25" s="117" t="s">
        <v>13</v>
      </c>
      <c r="C25" s="7">
        <v>22</v>
      </c>
      <c r="D25" s="144"/>
      <c r="E25" s="139"/>
      <c r="F25" s="140"/>
      <c r="G25"/>
      <c r="H25"/>
      <c r="I25"/>
      <c r="J25"/>
      <c r="K25"/>
      <c r="L25"/>
      <c r="M25"/>
      <c r="N25"/>
      <c r="O25"/>
      <c r="P25"/>
    </row>
    <row r="26" spans="1:16" x14ac:dyDescent="0.25">
      <c r="A26" s="52" t="s">
        <v>39</v>
      </c>
      <c r="B26" s="117" t="s">
        <v>13</v>
      </c>
      <c r="C26" s="7">
        <v>23</v>
      </c>
      <c r="D26" s="142">
        <v>12</v>
      </c>
      <c r="E26" s="139"/>
      <c r="F26" s="140"/>
      <c r="G26"/>
      <c r="H26"/>
      <c r="I26"/>
      <c r="J26"/>
      <c r="K26"/>
      <c r="L26"/>
      <c r="M26"/>
      <c r="N26"/>
      <c r="O26"/>
      <c r="P26"/>
    </row>
    <row r="27" spans="1:16" x14ac:dyDescent="0.25">
      <c r="A27" s="52" t="s">
        <v>40</v>
      </c>
      <c r="B27" s="117" t="s">
        <v>13</v>
      </c>
      <c r="C27" s="7">
        <v>24</v>
      </c>
      <c r="D27" s="144"/>
      <c r="E27" s="139"/>
      <c r="F27" s="140"/>
      <c r="G27"/>
      <c r="H27"/>
      <c r="I27"/>
      <c r="J27"/>
      <c r="K27"/>
      <c r="L27"/>
      <c r="M27"/>
      <c r="N27"/>
      <c r="O27"/>
      <c r="P27"/>
    </row>
    <row r="28" spans="1:16" ht="15.95" customHeight="1" x14ac:dyDescent="0.25">
      <c r="A28" s="52" t="s">
        <v>41</v>
      </c>
      <c r="B28" s="117" t="s">
        <v>13</v>
      </c>
      <c r="C28" s="7">
        <v>25</v>
      </c>
      <c r="D28" s="142">
        <v>13</v>
      </c>
      <c r="E28" s="138" t="s">
        <v>42</v>
      </c>
      <c r="F28" s="140" t="s">
        <v>15</v>
      </c>
      <c r="G28"/>
      <c r="H28"/>
      <c r="I28"/>
      <c r="J28"/>
      <c r="K28"/>
      <c r="L28"/>
      <c r="M28"/>
      <c r="N28"/>
      <c r="O28"/>
      <c r="P28"/>
    </row>
    <row r="29" spans="1:16" x14ac:dyDescent="0.25">
      <c r="A29" s="52" t="s">
        <v>43</v>
      </c>
      <c r="B29" s="117" t="s">
        <v>13</v>
      </c>
      <c r="C29" s="7">
        <v>26</v>
      </c>
      <c r="D29" s="144"/>
      <c r="E29" s="139"/>
      <c r="F29" s="140"/>
      <c r="G29"/>
      <c r="H29"/>
      <c r="I29"/>
      <c r="J29"/>
      <c r="K29"/>
      <c r="L29"/>
      <c r="M29"/>
      <c r="N29"/>
      <c r="O29"/>
      <c r="P29"/>
    </row>
    <row r="30" spans="1:16" x14ac:dyDescent="0.25">
      <c r="A30" s="52" t="s">
        <v>44</v>
      </c>
      <c r="B30" s="117" t="s">
        <v>13</v>
      </c>
      <c r="C30" s="7">
        <v>27</v>
      </c>
      <c r="D30" s="142">
        <v>14</v>
      </c>
      <c r="E30" s="139"/>
      <c r="F30" s="140"/>
      <c r="G30"/>
      <c r="H30"/>
      <c r="I30"/>
      <c r="J30"/>
      <c r="K30"/>
      <c r="L30"/>
      <c r="M30"/>
      <c r="N30"/>
      <c r="O30"/>
      <c r="P30"/>
    </row>
    <row r="31" spans="1:16" x14ac:dyDescent="0.25">
      <c r="A31" s="52" t="s">
        <v>45</v>
      </c>
      <c r="B31" s="117" t="s">
        <v>13</v>
      </c>
      <c r="C31" s="7">
        <v>28</v>
      </c>
      <c r="D31" s="144"/>
      <c r="E31" s="139"/>
      <c r="F31" s="140"/>
      <c r="G31"/>
      <c r="H31"/>
      <c r="I31"/>
      <c r="J31"/>
      <c r="K31"/>
      <c r="L31"/>
      <c r="M31"/>
      <c r="N31"/>
      <c r="O31"/>
      <c r="P31"/>
    </row>
    <row r="32" spans="1:16" x14ac:dyDescent="0.25">
      <c r="A32" s="52" t="s">
        <v>46</v>
      </c>
      <c r="B32" s="117" t="s">
        <v>13</v>
      </c>
      <c r="C32" s="7">
        <v>29</v>
      </c>
      <c r="D32" s="142">
        <v>15</v>
      </c>
      <c r="E32" s="139"/>
      <c r="F32" s="140"/>
      <c r="G32"/>
      <c r="H32"/>
      <c r="I32"/>
      <c r="J32"/>
      <c r="K32"/>
      <c r="L32"/>
      <c r="M32"/>
      <c r="N32"/>
      <c r="O32"/>
      <c r="P32"/>
    </row>
    <row r="33" spans="1:16" x14ac:dyDescent="0.25">
      <c r="A33" s="52" t="s">
        <v>47</v>
      </c>
      <c r="B33" s="117" t="s">
        <v>13</v>
      </c>
      <c r="C33" s="7">
        <v>30</v>
      </c>
      <c r="D33" s="144"/>
      <c r="E33" s="139"/>
      <c r="F33" s="140"/>
      <c r="G33"/>
      <c r="H33"/>
      <c r="I33"/>
      <c r="J33"/>
      <c r="K33"/>
      <c r="L33"/>
      <c r="M33"/>
      <c r="N33"/>
      <c r="O33"/>
      <c r="P33"/>
    </row>
    <row r="34" spans="1:16" x14ac:dyDescent="0.25">
      <c r="A34" s="52"/>
      <c r="B34" s="117" t="s">
        <v>13</v>
      </c>
      <c r="C34" s="7">
        <v>31</v>
      </c>
      <c r="D34" s="142">
        <v>16</v>
      </c>
      <c r="E34" s="139"/>
      <c r="F34" s="140"/>
      <c r="G34"/>
      <c r="H34"/>
      <c r="I34"/>
      <c r="J34"/>
      <c r="K34"/>
      <c r="L34"/>
      <c r="M34"/>
      <c r="N34"/>
      <c r="O34"/>
      <c r="P34"/>
    </row>
    <row r="35" spans="1:16" x14ac:dyDescent="0.25">
      <c r="A35" s="52"/>
      <c r="B35" s="117" t="s">
        <v>13</v>
      </c>
      <c r="C35" s="7">
        <v>32</v>
      </c>
      <c r="D35" s="144"/>
      <c r="E35" s="139"/>
      <c r="F35" s="140"/>
      <c r="G35"/>
      <c r="H35"/>
      <c r="I35"/>
      <c r="J35"/>
      <c r="K35"/>
      <c r="L35"/>
      <c r="M35"/>
      <c r="N35"/>
      <c r="O35"/>
      <c r="P35"/>
    </row>
    <row r="36" spans="1:16" x14ac:dyDescent="0.25">
      <c r="A36" s="52"/>
      <c r="B36" s="117" t="s">
        <v>13</v>
      </c>
      <c r="C36" s="7">
        <v>33</v>
      </c>
      <c r="D36" s="142">
        <v>17</v>
      </c>
      <c r="E36" s="138" t="s">
        <v>48</v>
      </c>
      <c r="F36" s="140"/>
      <c r="G36"/>
      <c r="H36"/>
      <c r="I36"/>
      <c r="J36"/>
      <c r="K36"/>
      <c r="L36"/>
      <c r="M36"/>
      <c r="N36"/>
      <c r="O36"/>
      <c r="P36"/>
    </row>
    <row r="37" spans="1:16" x14ac:dyDescent="0.25">
      <c r="A37" s="52"/>
      <c r="B37" s="117" t="s">
        <v>13</v>
      </c>
      <c r="C37" s="7">
        <v>34</v>
      </c>
      <c r="D37" s="144"/>
      <c r="E37" s="139"/>
      <c r="F37" s="140"/>
      <c r="G37"/>
      <c r="H37"/>
      <c r="I37"/>
      <c r="J37"/>
      <c r="K37"/>
      <c r="L37"/>
      <c r="M37"/>
      <c r="N37"/>
      <c r="O37"/>
      <c r="P37"/>
    </row>
    <row r="38" spans="1:16" x14ac:dyDescent="0.25">
      <c r="A38" s="52"/>
      <c r="B38" s="117" t="s">
        <v>13</v>
      </c>
      <c r="C38" s="7">
        <v>35</v>
      </c>
      <c r="D38" s="142">
        <v>18</v>
      </c>
      <c r="E38" s="139"/>
      <c r="F38" s="140"/>
      <c r="G38"/>
      <c r="H38"/>
      <c r="I38"/>
      <c r="J38"/>
      <c r="K38"/>
      <c r="L38"/>
      <c r="M38"/>
      <c r="N38"/>
      <c r="O38"/>
      <c r="P38"/>
    </row>
    <row r="39" spans="1:16" x14ac:dyDescent="0.25">
      <c r="A39" s="52"/>
      <c r="B39" s="117" t="s">
        <v>13</v>
      </c>
      <c r="C39" s="7">
        <v>36</v>
      </c>
      <c r="D39" s="144"/>
      <c r="E39" s="139"/>
      <c r="F39" s="140"/>
      <c r="G39"/>
      <c r="H39"/>
      <c r="I39"/>
      <c r="J39"/>
      <c r="K39"/>
      <c r="L39"/>
      <c r="M39"/>
      <c r="N39"/>
      <c r="O39"/>
      <c r="P39"/>
    </row>
    <row r="40" spans="1:16" ht="15.95" customHeight="1" x14ac:dyDescent="0.25">
      <c r="A40" s="52"/>
      <c r="B40" s="117" t="s">
        <v>13</v>
      </c>
      <c r="C40" s="7">
        <v>37</v>
      </c>
      <c r="D40" s="142">
        <v>19</v>
      </c>
      <c r="E40" s="139"/>
      <c r="F40" s="140"/>
      <c r="G40"/>
      <c r="H40"/>
      <c r="I40"/>
      <c r="J40"/>
      <c r="K40"/>
      <c r="L40"/>
      <c r="M40"/>
      <c r="N40"/>
      <c r="O40"/>
      <c r="P40"/>
    </row>
    <row r="41" spans="1:16" x14ac:dyDescent="0.25">
      <c r="A41" s="52"/>
      <c r="B41" s="117" t="s">
        <v>13</v>
      </c>
      <c r="C41" s="7">
        <v>38</v>
      </c>
      <c r="D41" s="144"/>
      <c r="E41" s="139"/>
      <c r="F41" s="140"/>
      <c r="G41"/>
      <c r="H41"/>
      <c r="I41"/>
      <c r="J41"/>
      <c r="K41"/>
      <c r="L41"/>
      <c r="M41"/>
      <c r="N41"/>
      <c r="O41"/>
      <c r="P41"/>
    </row>
    <row r="42" spans="1:16" x14ac:dyDescent="0.25">
      <c r="A42" s="52"/>
      <c r="B42" s="117" t="s">
        <v>13</v>
      </c>
      <c r="C42" s="7">
        <v>39</v>
      </c>
      <c r="D42" s="142">
        <v>20</v>
      </c>
      <c r="E42" s="139"/>
      <c r="F42" s="140"/>
      <c r="G42"/>
      <c r="H42"/>
      <c r="I42"/>
      <c r="J42"/>
      <c r="K42"/>
      <c r="L42"/>
      <c r="M42"/>
      <c r="N42"/>
      <c r="O42"/>
      <c r="P42"/>
    </row>
    <row r="43" spans="1:16" x14ac:dyDescent="0.25">
      <c r="A43" s="52"/>
      <c r="B43" s="117" t="s">
        <v>13</v>
      </c>
      <c r="C43" s="7">
        <v>40</v>
      </c>
      <c r="D43" s="144"/>
      <c r="E43" s="139"/>
      <c r="F43" s="140"/>
      <c r="G43"/>
      <c r="H43"/>
      <c r="I43"/>
      <c r="J43"/>
      <c r="K43"/>
      <c r="L43"/>
      <c r="M43"/>
      <c r="N43"/>
      <c r="O43"/>
      <c r="P43"/>
    </row>
    <row r="44" spans="1:16" x14ac:dyDescent="0.25">
      <c r="A44" s="52"/>
      <c r="B44" s="117" t="s">
        <v>13</v>
      </c>
      <c r="C44" s="7">
        <v>41</v>
      </c>
      <c r="D44" s="142">
        <v>21</v>
      </c>
      <c r="E44" s="138" t="s">
        <v>49</v>
      </c>
      <c r="F44" s="140"/>
      <c r="G44"/>
      <c r="H44"/>
      <c r="I44"/>
      <c r="J44"/>
      <c r="K44"/>
      <c r="L44"/>
      <c r="M44"/>
      <c r="N44"/>
      <c r="O44"/>
      <c r="P44"/>
    </row>
    <row r="45" spans="1:16" x14ac:dyDescent="0.25">
      <c r="A45" s="52"/>
      <c r="B45" s="117" t="s">
        <v>13</v>
      </c>
      <c r="C45" s="7">
        <v>42</v>
      </c>
      <c r="D45" s="144"/>
      <c r="E45" s="139"/>
      <c r="F45" s="140"/>
      <c r="G45"/>
      <c r="H45"/>
      <c r="I45"/>
      <c r="J45"/>
      <c r="K45"/>
      <c r="L45"/>
      <c r="M45"/>
      <c r="N45"/>
      <c r="O45"/>
      <c r="P45"/>
    </row>
    <row r="46" spans="1:16" x14ac:dyDescent="0.25">
      <c r="A46" s="52"/>
      <c r="B46" s="117" t="s">
        <v>13</v>
      </c>
      <c r="C46" s="7">
        <v>43</v>
      </c>
      <c r="D46" s="142">
        <v>22</v>
      </c>
      <c r="E46" s="139"/>
      <c r="F46" s="140"/>
      <c r="G46"/>
      <c r="H46"/>
      <c r="I46"/>
      <c r="J46"/>
      <c r="K46"/>
      <c r="L46"/>
      <c r="M46"/>
      <c r="N46"/>
      <c r="O46"/>
      <c r="P46"/>
    </row>
    <row r="47" spans="1:16" x14ac:dyDescent="0.25">
      <c r="A47" s="52"/>
      <c r="B47" s="117" t="s">
        <v>13</v>
      </c>
      <c r="C47" s="7">
        <v>44</v>
      </c>
      <c r="D47" s="144"/>
      <c r="E47" s="139"/>
      <c r="F47" s="140"/>
      <c r="G47"/>
      <c r="H47"/>
      <c r="I47"/>
      <c r="J47"/>
      <c r="K47"/>
      <c r="L47"/>
      <c r="M47"/>
      <c r="N47"/>
      <c r="O47"/>
      <c r="P47"/>
    </row>
    <row r="48" spans="1:16" x14ac:dyDescent="0.25">
      <c r="A48" s="52"/>
      <c r="B48" s="117" t="s">
        <v>13</v>
      </c>
      <c r="C48" s="7">
        <v>45</v>
      </c>
      <c r="D48" s="142">
        <v>23</v>
      </c>
      <c r="E48" s="139"/>
      <c r="F48" s="140"/>
      <c r="G48"/>
      <c r="H48"/>
      <c r="I48"/>
      <c r="J48"/>
      <c r="K48"/>
      <c r="L48"/>
      <c r="M48"/>
      <c r="N48"/>
      <c r="O48"/>
      <c r="P48"/>
    </row>
    <row r="49" spans="1:16" x14ac:dyDescent="0.25">
      <c r="A49" s="52"/>
      <c r="B49" s="117" t="s">
        <v>13</v>
      </c>
      <c r="C49" s="7">
        <v>46</v>
      </c>
      <c r="D49" s="144"/>
      <c r="E49" s="139"/>
      <c r="F49" s="140"/>
      <c r="G49"/>
      <c r="H49"/>
      <c r="I49"/>
      <c r="J49"/>
      <c r="K49"/>
      <c r="L49"/>
      <c r="M49"/>
      <c r="N49"/>
      <c r="O49"/>
      <c r="P49"/>
    </row>
    <row r="50" spans="1:16" x14ac:dyDescent="0.25">
      <c r="A50" s="52"/>
      <c r="B50" s="117" t="s">
        <v>13</v>
      </c>
      <c r="C50" s="7">
        <v>47</v>
      </c>
      <c r="D50" s="142">
        <v>24</v>
      </c>
      <c r="E50" s="139"/>
      <c r="F50" s="140"/>
      <c r="G50"/>
      <c r="H50"/>
      <c r="I50"/>
      <c r="J50"/>
      <c r="K50"/>
      <c r="L50"/>
      <c r="M50"/>
      <c r="N50"/>
      <c r="O50"/>
      <c r="P50"/>
    </row>
    <row r="51" spans="1:16" x14ac:dyDescent="0.25">
      <c r="A51" s="52"/>
      <c r="B51" s="117" t="s">
        <v>13</v>
      </c>
      <c r="C51" s="7">
        <v>48</v>
      </c>
      <c r="D51" s="144"/>
      <c r="E51" s="139"/>
      <c r="F51" s="140"/>
      <c r="G51"/>
      <c r="H51"/>
      <c r="I51"/>
      <c r="J51"/>
      <c r="K51"/>
      <c r="L51"/>
      <c r="M51"/>
      <c r="N51"/>
      <c r="O51"/>
      <c r="P51"/>
    </row>
    <row r="52" spans="1:16" ht="15.95" customHeight="1" x14ac:dyDescent="0.25">
      <c r="A52" s="52"/>
      <c r="B52" s="117" t="s">
        <v>13</v>
      </c>
      <c r="C52" s="7">
        <v>49</v>
      </c>
      <c r="D52" s="142">
        <v>25</v>
      </c>
      <c r="E52" s="138" t="s">
        <v>50</v>
      </c>
      <c r="F52" s="140"/>
      <c r="G52"/>
      <c r="H52"/>
      <c r="I52"/>
      <c r="J52"/>
      <c r="K52"/>
      <c r="L52"/>
      <c r="M52"/>
      <c r="N52"/>
      <c r="O52"/>
      <c r="P52"/>
    </row>
    <row r="53" spans="1:16" x14ac:dyDescent="0.25">
      <c r="A53" s="52"/>
      <c r="B53" s="117" t="s">
        <v>13</v>
      </c>
      <c r="C53" s="7">
        <v>50</v>
      </c>
      <c r="D53" s="144"/>
      <c r="E53" s="139"/>
      <c r="F53" s="140"/>
      <c r="G53"/>
      <c r="H53"/>
      <c r="I53"/>
      <c r="J53"/>
      <c r="K53"/>
      <c r="L53"/>
      <c r="M53"/>
      <c r="N53"/>
      <c r="O53"/>
      <c r="P53"/>
    </row>
    <row r="54" spans="1:16" x14ac:dyDescent="0.25">
      <c r="A54" s="52"/>
      <c r="B54" s="117" t="s">
        <v>13</v>
      </c>
      <c r="C54" s="7">
        <v>51</v>
      </c>
      <c r="D54" s="142">
        <v>26</v>
      </c>
      <c r="E54" s="139"/>
      <c r="F54" s="140"/>
      <c r="G54"/>
      <c r="H54"/>
      <c r="I54"/>
      <c r="J54"/>
      <c r="K54"/>
      <c r="L54"/>
      <c r="M54"/>
      <c r="N54"/>
      <c r="O54"/>
      <c r="P54"/>
    </row>
    <row r="55" spans="1:16" x14ac:dyDescent="0.25">
      <c r="A55" s="52"/>
      <c r="B55" s="117" t="s">
        <v>13</v>
      </c>
      <c r="C55" s="7">
        <v>52</v>
      </c>
      <c r="D55" s="144"/>
      <c r="E55" s="139"/>
      <c r="F55" s="140"/>
      <c r="G55"/>
      <c r="H55"/>
      <c r="I55"/>
      <c r="J55"/>
      <c r="K55"/>
      <c r="L55"/>
      <c r="M55"/>
      <c r="N55"/>
      <c r="O55"/>
      <c r="P55"/>
    </row>
    <row r="56" spans="1:16" x14ac:dyDescent="0.25">
      <c r="A56" s="52"/>
      <c r="B56" s="117" t="s">
        <v>13</v>
      </c>
      <c r="C56" s="7">
        <v>53</v>
      </c>
      <c r="D56" s="142">
        <v>27</v>
      </c>
      <c r="E56" s="139"/>
      <c r="F56" s="140"/>
      <c r="G56"/>
      <c r="H56"/>
      <c r="I56"/>
      <c r="J56"/>
      <c r="K56"/>
      <c r="L56"/>
      <c r="M56"/>
      <c r="N56"/>
      <c r="O56"/>
      <c r="P56"/>
    </row>
    <row r="57" spans="1:16" x14ac:dyDescent="0.25">
      <c r="A57" s="52"/>
      <c r="B57" s="117" t="s">
        <v>13</v>
      </c>
      <c r="C57" s="7">
        <v>54</v>
      </c>
      <c r="D57" s="144"/>
      <c r="E57" s="139"/>
      <c r="F57" s="140"/>
      <c r="G57"/>
      <c r="H57"/>
      <c r="I57"/>
      <c r="J57"/>
      <c r="K57"/>
      <c r="L57"/>
      <c r="M57"/>
      <c r="N57"/>
      <c r="O57"/>
      <c r="P57"/>
    </row>
    <row r="58" spans="1:16" x14ac:dyDescent="0.25">
      <c r="A58" s="52"/>
      <c r="B58" s="117" t="s">
        <v>13</v>
      </c>
      <c r="C58" s="7">
        <v>55</v>
      </c>
      <c r="D58" s="142">
        <v>28</v>
      </c>
      <c r="E58" s="139"/>
      <c r="F58" s="140"/>
      <c r="G58"/>
      <c r="H58"/>
      <c r="I58"/>
      <c r="J58"/>
      <c r="K58"/>
      <c r="L58"/>
      <c r="M58"/>
      <c r="N58"/>
      <c r="O58"/>
      <c r="P58"/>
    </row>
    <row r="59" spans="1:16" x14ac:dyDescent="0.25">
      <c r="A59" s="52"/>
      <c r="B59" s="117" t="s">
        <v>13</v>
      </c>
      <c r="C59" s="7">
        <v>56</v>
      </c>
      <c r="D59" s="144"/>
      <c r="E59" s="139"/>
      <c r="F59" s="140"/>
      <c r="G59"/>
      <c r="H59"/>
      <c r="I59"/>
      <c r="J59"/>
      <c r="K59"/>
      <c r="L59"/>
      <c r="M59"/>
      <c r="N59"/>
      <c r="O59"/>
      <c r="P59"/>
    </row>
    <row r="60" spans="1:16" x14ac:dyDescent="0.25">
      <c r="A60" s="52"/>
      <c r="B60" s="117" t="s">
        <v>13</v>
      </c>
      <c r="C60" s="7">
        <v>57</v>
      </c>
      <c r="D60" s="142">
        <v>29</v>
      </c>
      <c r="E60" s="138" t="s">
        <v>51</v>
      </c>
      <c r="F60" s="140"/>
      <c r="G60"/>
      <c r="H60"/>
      <c r="I60"/>
      <c r="J60"/>
      <c r="K60"/>
      <c r="L60"/>
      <c r="M60"/>
      <c r="N60"/>
      <c r="O60"/>
      <c r="P60"/>
    </row>
    <row r="61" spans="1:16" x14ac:dyDescent="0.25">
      <c r="A61" s="52"/>
      <c r="B61" s="117" t="s">
        <v>13</v>
      </c>
      <c r="C61" s="7">
        <v>58</v>
      </c>
      <c r="D61" s="144"/>
      <c r="E61" s="139"/>
      <c r="F61" s="140"/>
      <c r="G61"/>
      <c r="H61"/>
      <c r="I61"/>
      <c r="J61"/>
      <c r="K61"/>
      <c r="L61"/>
      <c r="M61"/>
      <c r="N61"/>
      <c r="O61"/>
      <c r="P61"/>
    </row>
    <row r="62" spans="1:16" x14ac:dyDescent="0.25">
      <c r="A62" s="52"/>
      <c r="B62" s="117" t="s">
        <v>13</v>
      </c>
      <c r="C62" s="7">
        <v>59</v>
      </c>
      <c r="D62" s="142">
        <v>30</v>
      </c>
      <c r="E62" s="139"/>
      <c r="F62" s="140"/>
      <c r="G62"/>
      <c r="H62"/>
      <c r="I62"/>
      <c r="J62"/>
      <c r="K62"/>
      <c r="L62"/>
      <c r="M62"/>
      <c r="N62"/>
      <c r="O62"/>
      <c r="P62"/>
    </row>
    <row r="63" spans="1:16" x14ac:dyDescent="0.25">
      <c r="A63" s="52"/>
      <c r="B63" s="117" t="s">
        <v>13</v>
      </c>
      <c r="C63" s="7">
        <v>60</v>
      </c>
      <c r="D63" s="144"/>
      <c r="E63" s="139"/>
      <c r="F63" s="140"/>
      <c r="G63"/>
      <c r="H63"/>
      <c r="I63"/>
      <c r="J63"/>
      <c r="K63"/>
      <c r="L63"/>
      <c r="M63"/>
      <c r="N63"/>
      <c r="O63"/>
      <c r="P63"/>
    </row>
    <row r="64" spans="1:16" ht="15.95" customHeight="1" x14ac:dyDescent="0.25">
      <c r="A64" s="52"/>
      <c r="B64" s="117" t="s">
        <v>13</v>
      </c>
      <c r="C64" s="7">
        <v>61</v>
      </c>
      <c r="D64" s="142">
        <v>31</v>
      </c>
      <c r="E64" s="139"/>
      <c r="F64" s="140"/>
      <c r="G64"/>
      <c r="H64"/>
      <c r="I64"/>
      <c r="J64"/>
      <c r="K64"/>
      <c r="L64"/>
      <c r="M64"/>
      <c r="N64"/>
      <c r="O64"/>
      <c r="P64"/>
    </row>
    <row r="65" spans="1:16" x14ac:dyDescent="0.25">
      <c r="A65" s="52"/>
      <c r="B65" s="117" t="s">
        <v>13</v>
      </c>
      <c r="C65" s="7">
        <v>62</v>
      </c>
      <c r="D65" s="144"/>
      <c r="E65" s="139"/>
      <c r="F65" s="140"/>
      <c r="G65"/>
      <c r="H65"/>
      <c r="I65"/>
      <c r="J65"/>
      <c r="K65"/>
      <c r="L65"/>
      <c r="M65"/>
      <c r="N65"/>
      <c r="O65"/>
      <c r="P65"/>
    </row>
    <row r="66" spans="1:16" x14ac:dyDescent="0.25">
      <c r="A66" s="52"/>
      <c r="B66" s="117" t="s">
        <v>13</v>
      </c>
      <c r="C66" s="7">
        <v>63</v>
      </c>
      <c r="D66" s="142">
        <v>32</v>
      </c>
      <c r="E66" s="139"/>
      <c r="F66" s="140"/>
      <c r="G66"/>
      <c r="H66"/>
      <c r="I66"/>
      <c r="J66"/>
      <c r="K66"/>
      <c r="L66"/>
      <c r="M66"/>
      <c r="N66"/>
      <c r="O66"/>
      <c r="P66"/>
    </row>
    <row r="67" spans="1:16" x14ac:dyDescent="0.25">
      <c r="A67" s="52"/>
      <c r="B67" s="117" t="s">
        <v>13</v>
      </c>
      <c r="C67" s="7">
        <v>64</v>
      </c>
      <c r="D67" s="144"/>
      <c r="E67" s="139"/>
      <c r="F67" s="140"/>
      <c r="G67"/>
      <c r="H67"/>
      <c r="I67"/>
      <c r="J67"/>
      <c r="K67"/>
      <c r="L67"/>
      <c r="M67"/>
      <c r="N67"/>
      <c r="O67"/>
      <c r="P67"/>
    </row>
    <row r="68" spans="1:16" x14ac:dyDescent="0.25">
      <c r="A68" s="52"/>
      <c r="B68" s="117" t="s">
        <v>13</v>
      </c>
      <c r="C68" s="7">
        <v>65</v>
      </c>
      <c r="D68" s="142">
        <v>33</v>
      </c>
      <c r="E68" s="138" t="s">
        <v>52</v>
      </c>
      <c r="F68" s="140"/>
      <c r="G68"/>
      <c r="H68"/>
      <c r="I68"/>
      <c r="J68"/>
      <c r="K68"/>
      <c r="L68"/>
      <c r="M68"/>
      <c r="N68"/>
      <c r="O68"/>
      <c r="P68"/>
    </row>
    <row r="69" spans="1:16" x14ac:dyDescent="0.25">
      <c r="A69" s="52"/>
      <c r="B69" s="117" t="s">
        <v>13</v>
      </c>
      <c r="C69" s="7">
        <v>66</v>
      </c>
      <c r="D69" s="144"/>
      <c r="E69" s="139"/>
      <c r="F69" s="140"/>
      <c r="G69"/>
      <c r="H69"/>
      <c r="I69"/>
      <c r="J69"/>
      <c r="K69"/>
      <c r="L69"/>
      <c r="M69"/>
      <c r="N69"/>
      <c r="O69"/>
      <c r="P69"/>
    </row>
    <row r="70" spans="1:16" x14ac:dyDescent="0.25">
      <c r="A70" s="52"/>
      <c r="B70" s="117" t="s">
        <v>13</v>
      </c>
      <c r="C70" s="7">
        <v>67</v>
      </c>
      <c r="D70" s="142">
        <v>34</v>
      </c>
      <c r="E70" s="139"/>
      <c r="F70" s="140"/>
      <c r="G70"/>
      <c r="H70"/>
      <c r="I70"/>
      <c r="J70"/>
      <c r="K70"/>
      <c r="L70"/>
      <c r="M70"/>
      <c r="N70"/>
      <c r="O70"/>
      <c r="P70"/>
    </row>
    <row r="71" spans="1:16" x14ac:dyDescent="0.25">
      <c r="A71" s="52"/>
      <c r="B71" s="117" t="s">
        <v>13</v>
      </c>
      <c r="C71" s="7">
        <v>68</v>
      </c>
      <c r="D71" s="144"/>
      <c r="E71" s="139"/>
      <c r="F71" s="140"/>
      <c r="G71"/>
      <c r="H71"/>
      <c r="I71"/>
      <c r="J71"/>
      <c r="K71"/>
      <c r="L71"/>
      <c r="M71"/>
      <c r="N71"/>
      <c r="O71"/>
      <c r="P71"/>
    </row>
    <row r="72" spans="1:16" x14ac:dyDescent="0.25">
      <c r="A72" s="52"/>
      <c r="B72" s="117" t="s">
        <v>13</v>
      </c>
      <c r="C72" s="7">
        <v>69</v>
      </c>
      <c r="D72" s="142">
        <v>35</v>
      </c>
      <c r="E72" s="139"/>
      <c r="F72" s="140"/>
      <c r="G72"/>
      <c r="H72"/>
      <c r="I72"/>
      <c r="J72"/>
      <c r="K72"/>
      <c r="L72"/>
      <c r="M72"/>
      <c r="N72"/>
      <c r="O72"/>
      <c r="P72"/>
    </row>
    <row r="73" spans="1:16" x14ac:dyDescent="0.25">
      <c r="A73" s="52"/>
      <c r="B73" s="117" t="s">
        <v>13</v>
      </c>
      <c r="C73" s="7">
        <v>70</v>
      </c>
      <c r="D73" s="144"/>
      <c r="E73" s="139"/>
      <c r="F73" s="140"/>
      <c r="G73"/>
      <c r="H73"/>
      <c r="I73"/>
      <c r="J73"/>
      <c r="K73"/>
      <c r="L73"/>
      <c r="M73"/>
      <c r="N73"/>
      <c r="O73"/>
      <c r="P73"/>
    </row>
    <row r="74" spans="1:16" x14ac:dyDescent="0.25">
      <c r="A74" s="52"/>
      <c r="B74" s="117" t="s">
        <v>13</v>
      </c>
      <c r="C74" s="7">
        <v>71</v>
      </c>
      <c r="D74" s="142">
        <v>36</v>
      </c>
      <c r="E74" s="139"/>
      <c r="F74" s="140"/>
      <c r="G74"/>
      <c r="H74"/>
      <c r="I74"/>
      <c r="J74"/>
      <c r="K74"/>
      <c r="L74"/>
      <c r="M74"/>
      <c r="N74"/>
      <c r="O74"/>
      <c r="P74"/>
    </row>
    <row r="75" spans="1:16" x14ac:dyDescent="0.25">
      <c r="A75" s="52"/>
      <c r="B75" s="117" t="s">
        <v>13</v>
      </c>
      <c r="C75" s="7">
        <v>72</v>
      </c>
      <c r="D75" s="144"/>
      <c r="E75" s="139"/>
      <c r="F75" s="140"/>
      <c r="G75"/>
      <c r="H75"/>
      <c r="I75"/>
      <c r="J75"/>
      <c r="K75"/>
      <c r="L75"/>
      <c r="M75"/>
      <c r="N75"/>
      <c r="O75"/>
      <c r="P75"/>
    </row>
    <row r="76" spans="1:16" ht="15.95" customHeight="1" x14ac:dyDescent="0.25">
      <c r="A76" s="52"/>
      <c r="B76" s="117" t="s">
        <v>13</v>
      </c>
      <c r="C76" s="7">
        <v>73</v>
      </c>
      <c r="D76" s="142">
        <v>37</v>
      </c>
      <c r="E76" s="138" t="s">
        <v>53</v>
      </c>
      <c r="F76" s="140"/>
      <c r="G76"/>
      <c r="H76"/>
      <c r="I76"/>
      <c r="J76"/>
      <c r="K76"/>
      <c r="L76"/>
      <c r="M76"/>
      <c r="N76"/>
      <c r="O76"/>
      <c r="P76"/>
    </row>
    <row r="77" spans="1:16" x14ac:dyDescent="0.25">
      <c r="A77" s="52"/>
      <c r="B77" s="117" t="s">
        <v>13</v>
      </c>
      <c r="C77" s="7">
        <v>74</v>
      </c>
      <c r="D77" s="144"/>
      <c r="E77" s="139"/>
      <c r="F77" s="140"/>
      <c r="G77"/>
      <c r="H77"/>
      <c r="I77"/>
      <c r="J77"/>
      <c r="K77"/>
      <c r="L77"/>
      <c r="M77"/>
      <c r="N77"/>
      <c r="O77"/>
      <c r="P77"/>
    </row>
    <row r="78" spans="1:16" x14ac:dyDescent="0.25">
      <c r="A78" s="52"/>
      <c r="B78" s="117" t="s">
        <v>13</v>
      </c>
      <c r="C78" s="7">
        <v>75</v>
      </c>
      <c r="D78" s="142">
        <v>38</v>
      </c>
      <c r="E78" s="139"/>
      <c r="F78" s="140"/>
      <c r="G78"/>
      <c r="H78"/>
      <c r="I78"/>
      <c r="J78"/>
      <c r="K78"/>
      <c r="L78"/>
      <c r="M78"/>
      <c r="N78"/>
      <c r="O78"/>
      <c r="P78"/>
    </row>
    <row r="79" spans="1:16" x14ac:dyDescent="0.25">
      <c r="A79" s="52"/>
      <c r="B79" s="117" t="s">
        <v>13</v>
      </c>
      <c r="C79" s="7">
        <v>76</v>
      </c>
      <c r="D79" s="144"/>
      <c r="E79" s="139"/>
      <c r="F79" s="140"/>
      <c r="G79"/>
      <c r="H79"/>
      <c r="I79"/>
      <c r="J79"/>
      <c r="K79"/>
      <c r="L79"/>
      <c r="M79"/>
      <c r="N79"/>
      <c r="O79"/>
      <c r="P79"/>
    </row>
    <row r="80" spans="1:16" x14ac:dyDescent="0.25">
      <c r="A80" s="52"/>
      <c r="B80" s="117" t="s">
        <v>13</v>
      </c>
      <c r="C80" s="7">
        <v>77</v>
      </c>
      <c r="D80" s="142">
        <v>39</v>
      </c>
      <c r="E80" s="139"/>
      <c r="F80" s="140"/>
      <c r="G80"/>
      <c r="H80"/>
      <c r="I80"/>
      <c r="J80"/>
      <c r="K80"/>
      <c r="L80"/>
      <c r="M80"/>
      <c r="N80"/>
      <c r="O80"/>
      <c r="P80"/>
    </row>
    <row r="81" spans="1:16" x14ac:dyDescent="0.25">
      <c r="A81" s="52"/>
      <c r="B81" s="117" t="s">
        <v>13</v>
      </c>
      <c r="C81" s="7">
        <v>78</v>
      </c>
      <c r="D81" s="144"/>
      <c r="E81" s="139"/>
      <c r="F81" s="140"/>
      <c r="G81"/>
      <c r="H81"/>
      <c r="I81"/>
      <c r="J81"/>
      <c r="K81"/>
      <c r="L81"/>
      <c r="M81"/>
      <c r="N81"/>
      <c r="O81"/>
      <c r="P81"/>
    </row>
    <row r="82" spans="1:16" x14ac:dyDescent="0.25">
      <c r="A82" s="52"/>
      <c r="B82" s="117" t="s">
        <v>13</v>
      </c>
      <c r="C82" s="7">
        <v>79</v>
      </c>
      <c r="D82" s="142">
        <v>40</v>
      </c>
      <c r="E82" s="139"/>
      <c r="F82" s="140"/>
      <c r="G82"/>
      <c r="H82"/>
      <c r="I82"/>
      <c r="J82"/>
      <c r="K82"/>
      <c r="L82"/>
      <c r="M82"/>
      <c r="N82"/>
      <c r="O82"/>
      <c r="P82"/>
    </row>
    <row r="83" spans="1:16" x14ac:dyDescent="0.25">
      <c r="A83" s="52"/>
      <c r="B83" s="117" t="s">
        <v>13</v>
      </c>
      <c r="C83" s="7">
        <v>80</v>
      </c>
      <c r="D83" s="144"/>
      <c r="E83" s="139"/>
      <c r="F83" s="140"/>
      <c r="G83"/>
      <c r="H83"/>
      <c r="I83"/>
      <c r="J83"/>
      <c r="K83"/>
      <c r="L83"/>
      <c r="M83"/>
      <c r="N83"/>
      <c r="O83"/>
      <c r="P83"/>
    </row>
    <row r="84" spans="1:16" x14ac:dyDescent="0.25">
      <c r="A84" s="52"/>
      <c r="B84" s="117" t="s">
        <v>13</v>
      </c>
      <c r="C84" s="7">
        <v>81</v>
      </c>
      <c r="D84" s="142">
        <v>41</v>
      </c>
      <c r="E84" s="138" t="s">
        <v>54</v>
      </c>
      <c r="F84" s="140"/>
      <c r="G84"/>
      <c r="H84"/>
      <c r="I84"/>
      <c r="J84"/>
      <c r="K84"/>
      <c r="L84"/>
      <c r="M84"/>
      <c r="N84"/>
      <c r="O84"/>
      <c r="P84"/>
    </row>
    <row r="85" spans="1:16" x14ac:dyDescent="0.25">
      <c r="A85" s="52"/>
      <c r="B85" s="117" t="s">
        <v>13</v>
      </c>
      <c r="C85" s="7">
        <v>82</v>
      </c>
      <c r="D85" s="144"/>
      <c r="E85" s="139"/>
      <c r="F85" s="140"/>
      <c r="G85"/>
      <c r="H85"/>
      <c r="I85"/>
      <c r="J85"/>
      <c r="K85"/>
      <c r="L85"/>
      <c r="M85"/>
      <c r="N85"/>
      <c r="O85"/>
      <c r="P85"/>
    </row>
    <row r="86" spans="1:16" x14ac:dyDescent="0.25">
      <c r="A86" s="52"/>
      <c r="B86" s="117" t="s">
        <v>13</v>
      </c>
      <c r="C86" s="7">
        <v>83</v>
      </c>
      <c r="D86" s="142">
        <v>42</v>
      </c>
      <c r="E86" s="139"/>
      <c r="F86" s="140"/>
      <c r="G86"/>
      <c r="H86"/>
      <c r="I86"/>
      <c r="J86"/>
      <c r="K86"/>
      <c r="L86"/>
      <c r="M86"/>
      <c r="N86"/>
      <c r="O86"/>
      <c r="P86"/>
    </row>
    <row r="87" spans="1:16" x14ac:dyDescent="0.25">
      <c r="A87" s="52"/>
      <c r="B87" s="117" t="s">
        <v>13</v>
      </c>
      <c r="C87" s="7">
        <v>84</v>
      </c>
      <c r="D87" s="144"/>
      <c r="E87" s="139"/>
      <c r="F87" s="140"/>
      <c r="G87"/>
      <c r="H87"/>
      <c r="I87"/>
      <c r="J87"/>
      <c r="K87"/>
      <c r="L87"/>
      <c r="M87"/>
      <c r="N87"/>
      <c r="O87"/>
      <c r="P87"/>
    </row>
    <row r="88" spans="1:16" ht="15.95" customHeight="1" x14ac:dyDescent="0.25">
      <c r="A88" s="52"/>
      <c r="B88" s="117" t="s">
        <v>13</v>
      </c>
      <c r="C88" s="7">
        <v>85</v>
      </c>
      <c r="D88" s="142">
        <v>43</v>
      </c>
      <c r="E88" s="139"/>
      <c r="F88" s="140"/>
      <c r="G88"/>
      <c r="H88"/>
      <c r="I88"/>
      <c r="J88"/>
      <c r="K88"/>
      <c r="L88"/>
      <c r="M88"/>
      <c r="N88"/>
      <c r="O88"/>
      <c r="P88"/>
    </row>
    <row r="89" spans="1:16" x14ac:dyDescent="0.25">
      <c r="A89" s="52"/>
      <c r="B89" s="117" t="s">
        <v>13</v>
      </c>
      <c r="C89" s="7">
        <v>86</v>
      </c>
      <c r="D89" s="144"/>
      <c r="E89" s="139"/>
      <c r="F89" s="140"/>
      <c r="G89"/>
      <c r="H89"/>
      <c r="I89"/>
      <c r="J89"/>
      <c r="K89"/>
      <c r="L89"/>
      <c r="M89"/>
      <c r="N89"/>
      <c r="O89"/>
      <c r="P89"/>
    </row>
    <row r="90" spans="1:16" x14ac:dyDescent="0.25">
      <c r="A90" s="52"/>
      <c r="B90" s="117" t="s">
        <v>13</v>
      </c>
      <c r="C90" s="7">
        <v>87</v>
      </c>
      <c r="D90" s="142">
        <v>44</v>
      </c>
      <c r="E90" s="139"/>
      <c r="F90" s="140"/>
      <c r="G90"/>
      <c r="H90"/>
      <c r="I90"/>
      <c r="J90"/>
      <c r="K90"/>
      <c r="L90"/>
      <c r="M90"/>
      <c r="N90"/>
      <c r="O90"/>
      <c r="P90"/>
    </row>
    <row r="91" spans="1:16" x14ac:dyDescent="0.25">
      <c r="A91" s="52"/>
      <c r="B91" s="117" t="s">
        <v>13</v>
      </c>
      <c r="C91" s="7">
        <v>88</v>
      </c>
      <c r="D91" s="144"/>
      <c r="E91" s="139"/>
      <c r="F91" s="140"/>
      <c r="G91"/>
      <c r="H91"/>
      <c r="I91"/>
      <c r="J91"/>
      <c r="K91"/>
      <c r="L91"/>
      <c r="M91"/>
      <c r="N91"/>
      <c r="O91"/>
      <c r="P91"/>
    </row>
    <row r="92" spans="1:16" x14ac:dyDescent="0.25">
      <c r="A92" s="52"/>
      <c r="B92" s="117" t="s">
        <v>13</v>
      </c>
      <c r="C92" s="7">
        <v>89</v>
      </c>
      <c r="D92" s="142">
        <v>45</v>
      </c>
      <c r="E92" s="138" t="s">
        <v>55</v>
      </c>
      <c r="F92" s="140"/>
      <c r="G92"/>
      <c r="H92"/>
      <c r="I92"/>
      <c r="J92"/>
      <c r="K92"/>
      <c r="L92"/>
      <c r="M92"/>
      <c r="N92"/>
      <c r="O92"/>
      <c r="P92"/>
    </row>
    <row r="93" spans="1:16" x14ac:dyDescent="0.25">
      <c r="A93" s="52"/>
      <c r="B93" s="117" t="s">
        <v>13</v>
      </c>
      <c r="C93" s="7">
        <v>90</v>
      </c>
      <c r="D93" s="144"/>
      <c r="E93" s="139"/>
      <c r="F93" s="140"/>
      <c r="G93"/>
      <c r="H93"/>
      <c r="I93"/>
      <c r="J93"/>
      <c r="K93"/>
      <c r="L93"/>
      <c r="M93"/>
      <c r="N93"/>
      <c r="O93"/>
      <c r="P93"/>
    </row>
    <row r="94" spans="1:16" x14ac:dyDescent="0.25">
      <c r="A94" s="52"/>
      <c r="B94" s="117" t="s">
        <v>13</v>
      </c>
      <c r="C94" s="7">
        <v>91</v>
      </c>
      <c r="D94" s="142">
        <v>46</v>
      </c>
      <c r="E94" s="139"/>
      <c r="F94" s="140"/>
      <c r="G94"/>
      <c r="H94"/>
      <c r="I94"/>
      <c r="J94"/>
      <c r="K94"/>
      <c r="L94"/>
      <c r="M94"/>
      <c r="N94"/>
      <c r="O94"/>
      <c r="P94"/>
    </row>
    <row r="95" spans="1:16" x14ac:dyDescent="0.25">
      <c r="A95" s="52"/>
      <c r="B95" s="117" t="s">
        <v>13</v>
      </c>
      <c r="C95" s="7">
        <v>92</v>
      </c>
      <c r="D95" s="144"/>
      <c r="E95" s="139"/>
      <c r="F95" s="140"/>
      <c r="G95"/>
      <c r="H95"/>
      <c r="I95"/>
      <c r="J95"/>
      <c r="K95"/>
      <c r="L95"/>
      <c r="M95"/>
      <c r="N95"/>
      <c r="O95"/>
      <c r="P95"/>
    </row>
    <row r="96" spans="1:16" x14ac:dyDescent="0.25">
      <c r="A96" s="52"/>
      <c r="B96" s="117" t="s">
        <v>13</v>
      </c>
      <c r="C96" s="7">
        <v>93</v>
      </c>
      <c r="D96" s="142">
        <v>47</v>
      </c>
      <c r="E96" s="139"/>
      <c r="F96" s="140"/>
      <c r="G96"/>
      <c r="H96"/>
      <c r="I96"/>
      <c r="J96"/>
      <c r="K96"/>
      <c r="L96"/>
      <c r="M96"/>
      <c r="N96"/>
      <c r="O96"/>
      <c r="P96"/>
    </row>
    <row r="97" spans="1:16" x14ac:dyDescent="0.25">
      <c r="A97" s="52"/>
      <c r="B97" s="117" t="s">
        <v>13</v>
      </c>
      <c r="C97" s="7">
        <v>94</v>
      </c>
      <c r="D97" s="144"/>
      <c r="E97" s="139"/>
      <c r="F97" s="140"/>
      <c r="G97"/>
      <c r="H97"/>
      <c r="I97"/>
      <c r="J97"/>
      <c r="K97"/>
      <c r="L97"/>
      <c r="M97"/>
      <c r="N97"/>
      <c r="O97"/>
      <c r="P97"/>
    </row>
    <row r="98" spans="1:16" x14ac:dyDescent="0.25">
      <c r="A98" s="52"/>
      <c r="B98" s="117" t="s">
        <v>13</v>
      </c>
      <c r="C98" s="7">
        <v>95</v>
      </c>
      <c r="D98" s="142">
        <v>48</v>
      </c>
      <c r="E98" s="139"/>
      <c r="F98" s="140"/>
      <c r="G98"/>
      <c r="H98"/>
      <c r="I98"/>
      <c r="J98"/>
      <c r="K98"/>
      <c r="L98"/>
      <c r="M98"/>
      <c r="N98"/>
      <c r="O98"/>
      <c r="P98"/>
    </row>
    <row r="99" spans="1:16" x14ac:dyDescent="0.25">
      <c r="A99" s="52"/>
      <c r="B99" s="117" t="s">
        <v>13</v>
      </c>
      <c r="C99" s="7">
        <v>96</v>
      </c>
      <c r="D99" s="143"/>
      <c r="E99" s="141"/>
      <c r="F99" s="140"/>
      <c r="G99"/>
      <c r="H99"/>
      <c r="I99"/>
      <c r="J99"/>
      <c r="K99"/>
      <c r="L99"/>
      <c r="M99"/>
      <c r="N99"/>
      <c r="O99"/>
      <c r="P99"/>
    </row>
    <row r="100" spans="1:16" ht="15.95" customHeight="1" x14ac:dyDescent="0.25">
      <c r="A100" s="52"/>
      <c r="B100" s="117" t="s">
        <v>13</v>
      </c>
      <c r="C100" s="7">
        <v>97</v>
      </c>
      <c r="D100" s="142">
        <v>49</v>
      </c>
      <c r="E100" s="138" t="s">
        <v>56</v>
      </c>
      <c r="F100" s="140"/>
      <c r="G100"/>
      <c r="H100"/>
      <c r="I100"/>
      <c r="J100"/>
      <c r="K100"/>
      <c r="L100"/>
      <c r="M100"/>
      <c r="N100"/>
      <c r="O100"/>
      <c r="P100"/>
    </row>
    <row r="101" spans="1:16" x14ac:dyDescent="0.25">
      <c r="A101" s="52"/>
      <c r="B101" s="117" t="s">
        <v>13</v>
      </c>
      <c r="C101" s="7">
        <v>98</v>
      </c>
      <c r="D101" s="143"/>
      <c r="E101" s="139"/>
      <c r="F101" s="140"/>
      <c r="G101"/>
      <c r="H101"/>
      <c r="I101"/>
      <c r="J101"/>
      <c r="K101"/>
      <c r="L101"/>
      <c r="M101"/>
      <c r="N101"/>
      <c r="O101"/>
      <c r="P101"/>
    </row>
    <row r="102" spans="1:16" x14ac:dyDescent="0.25">
      <c r="A102" s="52"/>
      <c r="B102" s="117" t="s">
        <v>13</v>
      </c>
      <c r="C102" s="7">
        <v>99</v>
      </c>
      <c r="D102" s="142">
        <v>50</v>
      </c>
      <c r="E102" s="139"/>
      <c r="F102" s="140"/>
      <c r="G102"/>
      <c r="H102"/>
      <c r="I102"/>
      <c r="J102"/>
      <c r="K102"/>
      <c r="L102"/>
      <c r="M102"/>
      <c r="N102"/>
      <c r="O102"/>
      <c r="P102"/>
    </row>
    <row r="103" spans="1:16" x14ac:dyDescent="0.25">
      <c r="A103" s="52"/>
      <c r="B103" s="117" t="s">
        <v>13</v>
      </c>
      <c r="C103" s="7">
        <v>100</v>
      </c>
      <c r="D103" s="143"/>
      <c r="E103" s="139"/>
      <c r="F103" s="140"/>
      <c r="G103"/>
      <c r="H103"/>
      <c r="I103"/>
      <c r="J103"/>
      <c r="K103"/>
      <c r="L103"/>
      <c r="M103"/>
      <c r="N103"/>
      <c r="O103"/>
      <c r="P103"/>
    </row>
    <row r="104" spans="1:16" x14ac:dyDescent="0.25">
      <c r="A104" s="52"/>
      <c r="B104" s="117" t="s">
        <v>13</v>
      </c>
      <c r="C104" s="7">
        <v>101</v>
      </c>
      <c r="D104" s="142">
        <v>51</v>
      </c>
      <c r="E104" s="139"/>
      <c r="F104" s="140"/>
      <c r="G104"/>
      <c r="H104"/>
      <c r="I104"/>
      <c r="J104"/>
      <c r="K104"/>
      <c r="L104"/>
      <c r="M104"/>
      <c r="N104"/>
      <c r="O104"/>
      <c r="P104"/>
    </row>
    <row r="105" spans="1:16" x14ac:dyDescent="0.25">
      <c r="A105" s="52"/>
      <c r="B105" s="117" t="s">
        <v>13</v>
      </c>
      <c r="C105" s="7">
        <v>102</v>
      </c>
      <c r="D105" s="143"/>
      <c r="E105" s="139"/>
      <c r="F105" s="140"/>
      <c r="G105"/>
      <c r="H105"/>
      <c r="I105"/>
      <c r="J105"/>
      <c r="K105"/>
      <c r="L105"/>
      <c r="M105"/>
      <c r="N105"/>
      <c r="O105"/>
      <c r="P105"/>
    </row>
    <row r="106" spans="1:16" x14ac:dyDescent="0.25">
      <c r="A106" s="52"/>
      <c r="B106" s="117" t="s">
        <v>13</v>
      </c>
      <c r="C106" s="7">
        <v>103</v>
      </c>
      <c r="D106" s="142">
        <v>52</v>
      </c>
      <c r="E106" s="139"/>
      <c r="F106" s="140"/>
      <c r="G106"/>
      <c r="H106"/>
      <c r="I106"/>
      <c r="J106"/>
      <c r="K106"/>
      <c r="L106"/>
      <c r="M106"/>
      <c r="N106"/>
      <c r="O106"/>
      <c r="P106"/>
    </row>
    <row r="107" spans="1:16" x14ac:dyDescent="0.25">
      <c r="A107" s="52"/>
      <c r="B107" s="117" t="s">
        <v>13</v>
      </c>
      <c r="C107" s="7">
        <v>104</v>
      </c>
      <c r="D107" s="143"/>
      <c r="E107" s="141"/>
      <c r="F107" s="140"/>
      <c r="G107"/>
      <c r="H107"/>
      <c r="I107"/>
      <c r="J107"/>
      <c r="K107"/>
      <c r="L107"/>
      <c r="M107"/>
      <c r="N107"/>
      <c r="O107"/>
      <c r="P107"/>
    </row>
    <row r="108" spans="1:16" ht="15.75" customHeight="1" x14ac:dyDescent="0.25">
      <c r="A108" s="52"/>
      <c r="B108" s="117" t="s">
        <v>13</v>
      </c>
      <c r="C108" s="7">
        <v>105</v>
      </c>
      <c r="D108" s="142">
        <v>53</v>
      </c>
      <c r="E108" s="138" t="s">
        <v>57</v>
      </c>
      <c r="F108" s="140"/>
      <c r="G108"/>
      <c r="H108"/>
      <c r="I108"/>
      <c r="J108"/>
      <c r="K108"/>
      <c r="L108"/>
      <c r="M108"/>
      <c r="N108"/>
      <c r="O108"/>
      <c r="P108"/>
    </row>
    <row r="109" spans="1:16" x14ac:dyDescent="0.25">
      <c r="A109" s="52"/>
      <c r="B109" s="117" t="s">
        <v>13</v>
      </c>
      <c r="C109" s="7">
        <v>106</v>
      </c>
      <c r="D109" s="143"/>
      <c r="E109" s="139"/>
      <c r="F109" s="140"/>
      <c r="G109"/>
      <c r="H109"/>
      <c r="I109"/>
      <c r="J109"/>
      <c r="K109"/>
      <c r="L109"/>
      <c r="M109"/>
      <c r="N109"/>
      <c r="O109"/>
      <c r="P109"/>
    </row>
    <row r="110" spans="1:16" x14ac:dyDescent="0.25">
      <c r="A110" s="52"/>
      <c r="B110" s="117" t="s">
        <v>13</v>
      </c>
      <c r="C110" s="7">
        <v>107</v>
      </c>
      <c r="D110" s="142">
        <v>54</v>
      </c>
      <c r="E110" s="139"/>
      <c r="F110" s="140"/>
      <c r="G110"/>
      <c r="H110"/>
      <c r="I110"/>
      <c r="J110"/>
      <c r="K110"/>
      <c r="L110"/>
      <c r="M110"/>
      <c r="N110"/>
      <c r="O110"/>
      <c r="P110"/>
    </row>
    <row r="111" spans="1:16" x14ac:dyDescent="0.25">
      <c r="A111" s="52"/>
      <c r="B111" s="117" t="s">
        <v>13</v>
      </c>
      <c r="C111" s="7">
        <v>108</v>
      </c>
      <c r="D111" s="143"/>
      <c r="E111" s="139"/>
      <c r="F111" s="140"/>
      <c r="G111"/>
      <c r="H111"/>
      <c r="I111"/>
      <c r="J111"/>
      <c r="K111"/>
      <c r="L111"/>
      <c r="M111"/>
      <c r="N111"/>
      <c r="O111"/>
      <c r="P111"/>
    </row>
    <row r="112" spans="1:16" ht="15.95" customHeight="1" x14ac:dyDescent="0.25">
      <c r="A112" s="52"/>
      <c r="B112" s="117" t="s">
        <v>13</v>
      </c>
      <c r="C112" s="7">
        <v>109</v>
      </c>
      <c r="D112" s="142">
        <v>55</v>
      </c>
      <c r="E112" s="139"/>
      <c r="F112" s="140"/>
      <c r="G112"/>
      <c r="H112"/>
      <c r="I112"/>
      <c r="J112"/>
      <c r="K112"/>
      <c r="L112"/>
      <c r="M112"/>
      <c r="N112"/>
      <c r="O112"/>
      <c r="P112"/>
    </row>
    <row r="113" spans="1:16" x14ac:dyDescent="0.25">
      <c r="A113" s="52"/>
      <c r="B113" s="117" t="s">
        <v>13</v>
      </c>
      <c r="C113" s="7">
        <v>110</v>
      </c>
      <c r="D113" s="143"/>
      <c r="E113" s="139"/>
      <c r="F113" s="140"/>
      <c r="G113"/>
      <c r="H113"/>
      <c r="I113"/>
      <c r="J113"/>
      <c r="K113"/>
      <c r="L113"/>
      <c r="M113"/>
      <c r="N113"/>
      <c r="O113"/>
      <c r="P113"/>
    </row>
    <row r="114" spans="1:16" x14ac:dyDescent="0.25">
      <c r="A114" s="52"/>
      <c r="B114" s="117" t="s">
        <v>13</v>
      </c>
      <c r="C114" s="7">
        <v>111</v>
      </c>
      <c r="D114" s="142">
        <v>56</v>
      </c>
      <c r="E114" s="139"/>
      <c r="F114" s="140"/>
      <c r="G114"/>
      <c r="H114"/>
      <c r="I114"/>
      <c r="J114"/>
      <c r="K114"/>
      <c r="L114"/>
      <c r="M114"/>
      <c r="N114"/>
      <c r="O114"/>
      <c r="P114"/>
    </row>
    <row r="115" spans="1:16" x14ac:dyDescent="0.25">
      <c r="A115" s="52"/>
      <c r="B115" s="117" t="s">
        <v>13</v>
      </c>
      <c r="C115" s="7">
        <v>112</v>
      </c>
      <c r="D115" s="143"/>
      <c r="E115" s="141"/>
      <c r="F115" s="140"/>
      <c r="G115"/>
      <c r="H115"/>
      <c r="I115"/>
      <c r="J115"/>
      <c r="K115"/>
      <c r="L115"/>
      <c r="M115"/>
      <c r="N115"/>
      <c r="O115"/>
      <c r="P115"/>
    </row>
    <row r="116" spans="1:16" ht="15.75" customHeight="1" x14ac:dyDescent="0.25">
      <c r="A116" s="52"/>
      <c r="B116" s="117" t="s">
        <v>13</v>
      </c>
      <c r="C116" s="7">
        <v>113</v>
      </c>
      <c r="D116" s="142">
        <v>57</v>
      </c>
      <c r="E116" s="138" t="s">
        <v>58</v>
      </c>
      <c r="F116" s="140"/>
      <c r="G116"/>
      <c r="H116"/>
      <c r="I116"/>
      <c r="J116"/>
      <c r="K116"/>
      <c r="L116"/>
      <c r="M116"/>
      <c r="N116"/>
      <c r="O116"/>
      <c r="P116"/>
    </row>
    <row r="117" spans="1:16" x14ac:dyDescent="0.25">
      <c r="A117" s="52"/>
      <c r="B117" s="117" t="s">
        <v>13</v>
      </c>
      <c r="C117" s="7">
        <v>114</v>
      </c>
      <c r="D117" s="143"/>
      <c r="E117" s="139"/>
      <c r="F117" s="140"/>
      <c r="G117"/>
      <c r="H117"/>
      <c r="I117"/>
      <c r="J117"/>
      <c r="K117"/>
      <c r="L117"/>
      <c r="M117"/>
      <c r="N117"/>
      <c r="O117"/>
      <c r="P117"/>
    </row>
    <row r="118" spans="1:16" x14ac:dyDescent="0.25">
      <c r="A118" s="52"/>
      <c r="B118" s="117" t="s">
        <v>13</v>
      </c>
      <c r="C118" s="7">
        <v>115</v>
      </c>
      <c r="D118" s="142">
        <v>58</v>
      </c>
      <c r="E118" s="139"/>
      <c r="F118" s="140"/>
      <c r="G118"/>
      <c r="H118"/>
      <c r="I118"/>
      <c r="J118"/>
      <c r="K118"/>
      <c r="L118"/>
      <c r="M118"/>
      <c r="N118"/>
      <c r="O118"/>
      <c r="P118"/>
    </row>
    <row r="119" spans="1:16" s="3" customFormat="1" x14ac:dyDescent="0.25">
      <c r="A119" s="52"/>
      <c r="B119" s="117" t="s">
        <v>13</v>
      </c>
      <c r="C119" s="7">
        <v>116</v>
      </c>
      <c r="D119" s="143"/>
      <c r="E119" s="139"/>
      <c r="F119" s="140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</row>
    <row r="120" spans="1:16" x14ac:dyDescent="0.25">
      <c r="A120" s="52"/>
      <c r="B120" s="117" t="s">
        <v>13</v>
      </c>
      <c r="C120" s="7">
        <v>117</v>
      </c>
      <c r="D120" s="142">
        <v>59</v>
      </c>
      <c r="E120" s="139"/>
      <c r="F120" s="140"/>
      <c r="G120"/>
      <c r="H120"/>
      <c r="I120"/>
      <c r="J120"/>
      <c r="K120"/>
      <c r="L120"/>
      <c r="M120"/>
      <c r="N120"/>
      <c r="O120"/>
      <c r="P120"/>
    </row>
    <row r="121" spans="1:16" x14ac:dyDescent="0.25">
      <c r="A121" s="52"/>
      <c r="B121" s="117" t="s">
        <v>13</v>
      </c>
      <c r="C121" s="7">
        <v>118</v>
      </c>
      <c r="D121" s="143"/>
      <c r="E121" s="139"/>
      <c r="F121" s="140"/>
      <c r="G121"/>
      <c r="H121"/>
      <c r="I121"/>
      <c r="J121"/>
      <c r="K121"/>
      <c r="L121"/>
      <c r="M121"/>
      <c r="N121"/>
      <c r="O121"/>
      <c r="P121"/>
    </row>
    <row r="122" spans="1:16" x14ac:dyDescent="0.25">
      <c r="A122" s="52"/>
      <c r="B122" s="117" t="s">
        <v>13</v>
      </c>
      <c r="C122" s="7">
        <v>119</v>
      </c>
      <c r="D122" s="142">
        <v>60</v>
      </c>
      <c r="E122" s="139"/>
      <c r="F122" s="140"/>
      <c r="G122"/>
      <c r="H122"/>
      <c r="I122"/>
      <c r="J122"/>
      <c r="K122"/>
      <c r="L122"/>
      <c r="M122"/>
      <c r="N122"/>
      <c r="O122"/>
      <c r="P122"/>
    </row>
    <row r="123" spans="1:16" x14ac:dyDescent="0.25">
      <c r="A123" s="52"/>
      <c r="B123" s="117" t="s">
        <v>13</v>
      </c>
      <c r="C123" s="7">
        <v>120</v>
      </c>
      <c r="D123" s="143"/>
      <c r="E123" s="141"/>
      <c r="F123" s="140"/>
      <c r="G123"/>
      <c r="H123"/>
      <c r="I123"/>
      <c r="J123"/>
      <c r="K123"/>
      <c r="L123"/>
      <c r="M123"/>
      <c r="N123"/>
      <c r="O123"/>
      <c r="P123"/>
    </row>
    <row r="124" spans="1:16" ht="15.95" customHeight="1" x14ac:dyDescent="0.25">
      <c r="A124" s="52"/>
      <c r="B124" s="117" t="s">
        <v>13</v>
      </c>
      <c r="C124" s="7">
        <v>121</v>
      </c>
      <c r="D124" s="142">
        <v>61</v>
      </c>
      <c r="E124" s="138" t="s">
        <v>59</v>
      </c>
      <c r="F124" s="140"/>
      <c r="G124"/>
      <c r="H124"/>
      <c r="I124"/>
      <c r="J124"/>
      <c r="K124"/>
      <c r="L124"/>
      <c r="M124"/>
      <c r="N124"/>
      <c r="O124"/>
      <c r="P124"/>
    </row>
    <row r="125" spans="1:16" x14ac:dyDescent="0.25">
      <c r="A125" s="52"/>
      <c r="B125" s="117" t="s">
        <v>13</v>
      </c>
      <c r="C125" s="7">
        <v>122</v>
      </c>
      <c r="D125" s="143"/>
      <c r="E125" s="139"/>
      <c r="F125" s="140"/>
      <c r="G125"/>
      <c r="H125"/>
      <c r="I125"/>
      <c r="J125"/>
      <c r="K125"/>
      <c r="L125"/>
      <c r="M125"/>
      <c r="N125"/>
      <c r="O125"/>
      <c r="P125"/>
    </row>
    <row r="126" spans="1:16" x14ac:dyDescent="0.25">
      <c r="A126" s="52"/>
      <c r="B126" s="117" t="s">
        <v>13</v>
      </c>
      <c r="C126" s="7">
        <v>123</v>
      </c>
      <c r="D126" s="142">
        <v>62</v>
      </c>
      <c r="E126" s="139"/>
      <c r="F126" s="140"/>
      <c r="G126"/>
      <c r="H126"/>
      <c r="I126"/>
      <c r="J126"/>
      <c r="K126"/>
      <c r="L126"/>
      <c r="M126"/>
      <c r="N126"/>
      <c r="O126"/>
      <c r="P126"/>
    </row>
    <row r="127" spans="1:16" x14ac:dyDescent="0.25">
      <c r="A127" s="52"/>
      <c r="B127" s="117" t="s">
        <v>13</v>
      </c>
      <c r="C127" s="7">
        <v>124</v>
      </c>
      <c r="D127" s="143"/>
      <c r="E127" s="139"/>
      <c r="F127" s="140"/>
      <c r="G127"/>
      <c r="H127"/>
      <c r="I127"/>
      <c r="J127"/>
      <c r="K127"/>
      <c r="L127"/>
      <c r="M127"/>
      <c r="N127"/>
      <c r="O127"/>
      <c r="P127"/>
    </row>
    <row r="128" spans="1:16" x14ac:dyDescent="0.25">
      <c r="A128" s="52"/>
      <c r="B128" s="117" t="s">
        <v>13</v>
      </c>
      <c r="C128" s="7">
        <v>125</v>
      </c>
      <c r="D128" s="142">
        <v>63</v>
      </c>
      <c r="E128" s="139"/>
      <c r="F128" s="140"/>
      <c r="G128"/>
      <c r="H128"/>
      <c r="I128"/>
      <c r="J128"/>
      <c r="K128"/>
      <c r="L128"/>
      <c r="M128"/>
      <c r="N128"/>
      <c r="O128"/>
      <c r="P128"/>
    </row>
    <row r="129" spans="1:16" x14ac:dyDescent="0.25">
      <c r="A129" s="52"/>
      <c r="B129" s="117" t="s">
        <v>13</v>
      </c>
      <c r="C129" s="7">
        <v>126</v>
      </c>
      <c r="D129" s="143"/>
      <c r="E129" s="139"/>
      <c r="F129" s="140"/>
      <c r="G129"/>
      <c r="H129"/>
      <c r="I129"/>
      <c r="J129"/>
      <c r="K129"/>
      <c r="L129"/>
      <c r="M129"/>
      <c r="N129"/>
      <c r="O129"/>
      <c r="P129"/>
    </row>
    <row r="130" spans="1:16" x14ac:dyDescent="0.25">
      <c r="A130" s="52"/>
      <c r="B130" s="117" t="s">
        <v>13</v>
      </c>
      <c r="C130" s="7">
        <v>127</v>
      </c>
      <c r="D130" s="142">
        <v>64</v>
      </c>
      <c r="E130" s="139"/>
      <c r="F130" s="140"/>
      <c r="G130"/>
      <c r="H130"/>
      <c r="I130"/>
      <c r="J130"/>
      <c r="K130"/>
      <c r="L130"/>
      <c r="M130"/>
      <c r="N130"/>
      <c r="O130"/>
      <c r="P130"/>
    </row>
    <row r="131" spans="1:16" x14ac:dyDescent="0.25">
      <c r="A131" s="52"/>
      <c r="B131" s="117" t="s">
        <v>13</v>
      </c>
      <c r="C131" s="7">
        <v>128</v>
      </c>
      <c r="D131" s="143"/>
      <c r="E131" s="141"/>
      <c r="F131" s="140"/>
      <c r="G131"/>
      <c r="H131"/>
      <c r="I131"/>
      <c r="J131"/>
      <c r="K131"/>
      <c r="L131"/>
      <c r="M131"/>
      <c r="N131"/>
      <c r="O131"/>
      <c r="P131"/>
    </row>
    <row r="132" spans="1:16" ht="15.75" customHeight="1" x14ac:dyDescent="0.25">
      <c r="A132" s="52"/>
      <c r="B132" s="117" t="s">
        <v>13</v>
      </c>
      <c r="C132" s="7">
        <v>129</v>
      </c>
      <c r="D132" s="142">
        <v>65</v>
      </c>
      <c r="E132" s="138" t="s">
        <v>60</v>
      </c>
      <c r="F132" s="140"/>
      <c r="G132"/>
      <c r="H132"/>
      <c r="I132"/>
      <c r="J132"/>
      <c r="K132"/>
      <c r="L132"/>
      <c r="M132"/>
      <c r="N132"/>
      <c r="O132"/>
      <c r="P132"/>
    </row>
    <row r="133" spans="1:16" x14ac:dyDescent="0.25">
      <c r="A133" s="52"/>
      <c r="B133" s="117" t="s">
        <v>13</v>
      </c>
      <c r="C133" s="7">
        <v>130</v>
      </c>
      <c r="D133" s="143"/>
      <c r="E133" s="139"/>
      <c r="F133" s="140"/>
      <c r="G133"/>
      <c r="H133"/>
      <c r="I133"/>
      <c r="J133"/>
      <c r="K133"/>
      <c r="L133"/>
      <c r="M133"/>
      <c r="N133"/>
      <c r="O133"/>
      <c r="P133"/>
    </row>
    <row r="134" spans="1:16" x14ac:dyDescent="0.25">
      <c r="A134" s="52"/>
      <c r="B134" s="117" t="s">
        <v>13</v>
      </c>
      <c r="C134" s="7">
        <v>131</v>
      </c>
      <c r="D134" s="142">
        <v>66</v>
      </c>
      <c r="E134" s="139"/>
      <c r="F134" s="140"/>
      <c r="G134"/>
      <c r="H134"/>
      <c r="I134"/>
      <c r="J134"/>
      <c r="K134"/>
      <c r="L134"/>
      <c r="M134"/>
      <c r="N134"/>
      <c r="O134"/>
      <c r="P134"/>
    </row>
    <row r="135" spans="1:16" x14ac:dyDescent="0.25">
      <c r="A135" s="52"/>
      <c r="B135" s="117" t="s">
        <v>13</v>
      </c>
      <c r="C135" s="7">
        <v>132</v>
      </c>
      <c r="D135" s="143"/>
      <c r="E135" s="139"/>
      <c r="F135" s="140"/>
      <c r="G135"/>
      <c r="H135"/>
      <c r="I135"/>
      <c r="J135"/>
      <c r="K135"/>
      <c r="L135"/>
      <c r="M135"/>
      <c r="N135"/>
      <c r="O135"/>
      <c r="P135"/>
    </row>
    <row r="136" spans="1:16" ht="15.95" customHeight="1" x14ac:dyDescent="0.25">
      <c r="A136" s="52"/>
      <c r="B136" s="117" t="s">
        <v>13</v>
      </c>
      <c r="C136" s="7">
        <v>133</v>
      </c>
      <c r="D136" s="142">
        <v>67</v>
      </c>
      <c r="E136" s="139"/>
      <c r="F136" s="140"/>
      <c r="G136"/>
      <c r="H136"/>
      <c r="I136"/>
      <c r="J136"/>
      <c r="K136"/>
      <c r="L136"/>
      <c r="M136"/>
      <c r="N136"/>
      <c r="O136"/>
      <c r="P136"/>
    </row>
    <row r="137" spans="1:16" x14ac:dyDescent="0.25">
      <c r="A137" s="52"/>
      <c r="B137" s="117" t="s">
        <v>13</v>
      </c>
      <c r="C137" s="7">
        <v>134</v>
      </c>
      <c r="D137" s="143"/>
      <c r="E137" s="139"/>
      <c r="F137" s="140"/>
      <c r="G137"/>
      <c r="H137"/>
      <c r="I137"/>
      <c r="J137"/>
      <c r="K137"/>
      <c r="L137"/>
      <c r="M137"/>
      <c r="N137"/>
      <c r="O137"/>
      <c r="P137"/>
    </row>
    <row r="138" spans="1:16" x14ac:dyDescent="0.25">
      <c r="A138" s="52"/>
      <c r="B138" s="117" t="s">
        <v>13</v>
      </c>
      <c r="C138" s="7">
        <v>135</v>
      </c>
      <c r="D138" s="142">
        <v>68</v>
      </c>
      <c r="E138" s="139"/>
      <c r="F138" s="140"/>
      <c r="G138"/>
      <c r="H138"/>
      <c r="I138"/>
      <c r="J138"/>
      <c r="K138"/>
      <c r="L138"/>
      <c r="M138"/>
      <c r="N138"/>
      <c r="O138"/>
      <c r="P138"/>
    </row>
    <row r="139" spans="1:16" x14ac:dyDescent="0.25">
      <c r="A139" s="52"/>
      <c r="B139" s="117" t="s">
        <v>13</v>
      </c>
      <c r="C139" s="7">
        <v>136</v>
      </c>
      <c r="D139" s="143"/>
      <c r="E139" s="141"/>
      <c r="F139" s="140"/>
      <c r="G139"/>
      <c r="H139"/>
      <c r="I139"/>
      <c r="J139"/>
      <c r="K139"/>
      <c r="L139"/>
      <c r="M139"/>
      <c r="N139"/>
      <c r="O139"/>
      <c r="P139"/>
    </row>
    <row r="140" spans="1:16" ht="15.75" customHeight="1" x14ac:dyDescent="0.25">
      <c r="A140" s="52"/>
      <c r="B140" s="117" t="s">
        <v>13</v>
      </c>
      <c r="C140" s="7">
        <v>137</v>
      </c>
      <c r="D140" s="142">
        <v>69</v>
      </c>
      <c r="E140" s="138" t="s">
        <v>61</v>
      </c>
      <c r="F140" s="140"/>
      <c r="G140"/>
      <c r="H140"/>
      <c r="I140"/>
      <c r="J140"/>
      <c r="K140"/>
      <c r="L140"/>
      <c r="M140"/>
      <c r="N140"/>
      <c r="O140"/>
      <c r="P140"/>
    </row>
    <row r="141" spans="1:16" x14ac:dyDescent="0.25">
      <c r="A141" s="52"/>
      <c r="B141" s="117" t="s">
        <v>13</v>
      </c>
      <c r="C141" s="7">
        <v>138</v>
      </c>
      <c r="D141" s="143"/>
      <c r="E141" s="139"/>
      <c r="F141" s="140"/>
      <c r="G141"/>
      <c r="H141"/>
      <c r="I141"/>
      <c r="J141"/>
      <c r="K141"/>
      <c r="L141"/>
      <c r="M141"/>
      <c r="N141"/>
      <c r="O141"/>
      <c r="P141"/>
    </row>
    <row r="142" spans="1:16" x14ac:dyDescent="0.25">
      <c r="A142" s="52"/>
      <c r="B142" s="117" t="s">
        <v>13</v>
      </c>
      <c r="C142" s="7">
        <v>139</v>
      </c>
      <c r="D142" s="142">
        <v>70</v>
      </c>
      <c r="E142" s="139"/>
      <c r="F142" s="140"/>
      <c r="G142"/>
      <c r="H142"/>
      <c r="I142"/>
      <c r="J142"/>
      <c r="K142"/>
      <c r="L142"/>
      <c r="M142"/>
      <c r="N142"/>
      <c r="O142"/>
      <c r="P142"/>
    </row>
    <row r="143" spans="1:16" x14ac:dyDescent="0.25">
      <c r="A143" s="52"/>
      <c r="B143" s="117" t="s">
        <v>13</v>
      </c>
      <c r="C143" s="7">
        <v>140</v>
      </c>
      <c r="D143" s="143"/>
      <c r="E143" s="139"/>
      <c r="F143" s="140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 s="52"/>
      <c r="B144" s="117" t="s">
        <v>13</v>
      </c>
      <c r="C144" s="7">
        <v>141</v>
      </c>
      <c r="D144" s="142">
        <v>71</v>
      </c>
      <c r="E144" s="139"/>
      <c r="F144" s="140"/>
      <c r="G144"/>
      <c r="H144"/>
      <c r="I144"/>
      <c r="J144"/>
      <c r="K144"/>
      <c r="L144"/>
      <c r="M144"/>
      <c r="N144"/>
      <c r="O144"/>
      <c r="P144"/>
    </row>
    <row r="145" spans="1:16" x14ac:dyDescent="0.25">
      <c r="A145" s="52"/>
      <c r="B145" s="117" t="s">
        <v>13</v>
      </c>
      <c r="C145" s="7">
        <v>142</v>
      </c>
      <c r="D145" s="143"/>
      <c r="E145" s="139"/>
      <c r="F145" s="140"/>
      <c r="G145"/>
      <c r="H145"/>
      <c r="I145"/>
      <c r="J145"/>
      <c r="K145"/>
      <c r="L145"/>
      <c r="M145"/>
      <c r="N145"/>
      <c r="O145"/>
      <c r="P145"/>
    </row>
    <row r="146" spans="1:16" x14ac:dyDescent="0.25">
      <c r="A146" s="52"/>
      <c r="B146" s="117" t="s">
        <v>13</v>
      </c>
      <c r="C146" s="7">
        <v>143</v>
      </c>
      <c r="D146" s="142">
        <v>72</v>
      </c>
      <c r="E146" s="139"/>
      <c r="F146" s="140"/>
      <c r="G146"/>
      <c r="H146"/>
      <c r="I146"/>
      <c r="J146"/>
      <c r="K146"/>
      <c r="L146"/>
      <c r="M146"/>
      <c r="N146"/>
      <c r="O146"/>
      <c r="P146"/>
    </row>
    <row r="147" spans="1:16" x14ac:dyDescent="0.25">
      <c r="A147" s="52"/>
      <c r="B147" s="117" t="s">
        <v>13</v>
      </c>
      <c r="C147" s="7">
        <v>144</v>
      </c>
      <c r="D147" s="143"/>
      <c r="E147" s="141"/>
      <c r="F147" s="140"/>
      <c r="G147"/>
      <c r="H147"/>
      <c r="I147"/>
      <c r="J147"/>
      <c r="K147"/>
      <c r="L147"/>
      <c r="M147"/>
      <c r="N147"/>
      <c r="O147"/>
      <c r="P147"/>
    </row>
    <row r="148" spans="1:16" ht="15.95" customHeight="1" x14ac:dyDescent="0.25">
      <c r="A148" s="52"/>
      <c r="B148" s="117" t="s">
        <v>13</v>
      </c>
      <c r="C148" s="7">
        <v>145</v>
      </c>
      <c r="D148" s="142">
        <v>73</v>
      </c>
      <c r="E148" s="138" t="s">
        <v>62</v>
      </c>
      <c r="F148" s="140"/>
      <c r="G148"/>
      <c r="H148"/>
      <c r="I148"/>
      <c r="J148"/>
      <c r="K148"/>
      <c r="L148"/>
      <c r="M148"/>
      <c r="N148"/>
      <c r="O148"/>
      <c r="P148"/>
    </row>
    <row r="149" spans="1:16" x14ac:dyDescent="0.25">
      <c r="A149" s="52"/>
      <c r="B149" s="117" t="s">
        <v>13</v>
      </c>
      <c r="C149" s="7">
        <v>146</v>
      </c>
      <c r="D149" s="143"/>
      <c r="E149" s="139"/>
      <c r="F149" s="140"/>
      <c r="G149"/>
      <c r="H149"/>
      <c r="I149"/>
      <c r="J149"/>
      <c r="K149"/>
      <c r="L149"/>
      <c r="M149"/>
      <c r="N149"/>
      <c r="O149"/>
      <c r="P149"/>
    </row>
    <row r="150" spans="1:16" x14ac:dyDescent="0.25">
      <c r="A150" s="52"/>
      <c r="B150" s="117" t="s">
        <v>13</v>
      </c>
      <c r="C150" s="7">
        <v>147</v>
      </c>
      <c r="D150" s="142">
        <v>74</v>
      </c>
      <c r="E150" s="139"/>
      <c r="F150" s="140"/>
      <c r="G150"/>
      <c r="H150"/>
      <c r="I150"/>
      <c r="J150"/>
      <c r="K150"/>
      <c r="L150"/>
      <c r="M150"/>
      <c r="N150"/>
      <c r="O150"/>
      <c r="P150"/>
    </row>
    <row r="151" spans="1:16" x14ac:dyDescent="0.25">
      <c r="A151" s="52"/>
      <c r="B151" s="117" t="s">
        <v>13</v>
      </c>
      <c r="C151" s="7">
        <v>148</v>
      </c>
      <c r="D151" s="143"/>
      <c r="E151" s="139"/>
      <c r="F151" s="140"/>
      <c r="G151"/>
      <c r="H151"/>
      <c r="I151"/>
      <c r="J151"/>
      <c r="K151"/>
      <c r="L151"/>
      <c r="M151"/>
      <c r="N151"/>
      <c r="O151"/>
      <c r="P151"/>
    </row>
    <row r="152" spans="1:16" x14ac:dyDescent="0.25">
      <c r="A152" s="52"/>
      <c r="B152" s="117" t="s">
        <v>13</v>
      </c>
      <c r="C152" s="7">
        <v>149</v>
      </c>
      <c r="D152" s="142">
        <v>75</v>
      </c>
      <c r="E152" s="139"/>
      <c r="F152" s="140"/>
      <c r="G152"/>
      <c r="H152"/>
      <c r="I152"/>
      <c r="J152"/>
      <c r="K152"/>
      <c r="L152"/>
      <c r="M152"/>
      <c r="N152"/>
      <c r="O152"/>
      <c r="P152"/>
    </row>
    <row r="153" spans="1:16" x14ac:dyDescent="0.25">
      <c r="A153" s="52"/>
      <c r="B153" s="117" t="s">
        <v>13</v>
      </c>
      <c r="C153" s="7">
        <v>150</v>
      </c>
      <c r="D153" s="143"/>
      <c r="E153" s="139"/>
      <c r="F153" s="140"/>
      <c r="G153"/>
      <c r="H153"/>
      <c r="I153"/>
      <c r="J153"/>
      <c r="K153"/>
      <c r="L153"/>
      <c r="M153"/>
      <c r="N153"/>
      <c r="O153"/>
      <c r="P153"/>
    </row>
    <row r="154" spans="1:16" x14ac:dyDescent="0.25">
      <c r="A154" s="52"/>
      <c r="B154" s="117" t="s">
        <v>13</v>
      </c>
      <c r="C154" s="7">
        <v>151</v>
      </c>
      <c r="D154" s="142">
        <v>76</v>
      </c>
      <c r="E154" s="139"/>
      <c r="F154" s="140"/>
      <c r="G154"/>
      <c r="H154"/>
      <c r="I154"/>
      <c r="J154"/>
      <c r="K154"/>
      <c r="L154"/>
      <c r="M154"/>
      <c r="N154"/>
      <c r="O154"/>
      <c r="P154"/>
    </row>
    <row r="155" spans="1:16" x14ac:dyDescent="0.25">
      <c r="A155" s="52"/>
      <c r="B155" s="117" t="s">
        <v>13</v>
      </c>
      <c r="C155" s="7">
        <v>152</v>
      </c>
      <c r="D155" s="143"/>
      <c r="E155" s="141"/>
      <c r="F155" s="140"/>
      <c r="G155"/>
      <c r="H155"/>
      <c r="I155"/>
      <c r="J155"/>
      <c r="K155"/>
      <c r="L155"/>
      <c r="M155"/>
      <c r="N155"/>
      <c r="O155"/>
      <c r="P155"/>
    </row>
    <row r="156" spans="1:16" ht="15.75" customHeight="1" x14ac:dyDescent="0.25">
      <c r="A156" s="52"/>
      <c r="B156" s="117" t="s">
        <v>13</v>
      </c>
      <c r="C156" s="7">
        <v>153</v>
      </c>
      <c r="D156" s="142">
        <v>77</v>
      </c>
      <c r="E156" s="138" t="s">
        <v>63</v>
      </c>
      <c r="F156" s="140"/>
      <c r="G156"/>
      <c r="H156"/>
      <c r="I156"/>
      <c r="J156"/>
      <c r="K156"/>
      <c r="L156"/>
      <c r="M156"/>
      <c r="N156"/>
      <c r="O156"/>
      <c r="P156"/>
    </row>
    <row r="157" spans="1:16" x14ac:dyDescent="0.25">
      <c r="A157" s="52"/>
      <c r="B157" s="117" t="s">
        <v>13</v>
      </c>
      <c r="C157" s="7">
        <v>154</v>
      </c>
      <c r="D157" s="143"/>
      <c r="E157" s="139"/>
      <c r="F157" s="140"/>
      <c r="G157"/>
      <c r="H157"/>
      <c r="I157"/>
      <c r="J157"/>
      <c r="K157"/>
      <c r="L157"/>
      <c r="M157"/>
      <c r="N157"/>
      <c r="O157"/>
      <c r="P157"/>
    </row>
    <row r="158" spans="1:16" x14ac:dyDescent="0.25">
      <c r="A158" s="52"/>
      <c r="B158" s="117" t="s">
        <v>13</v>
      </c>
      <c r="C158" s="7">
        <v>155</v>
      </c>
      <c r="D158" s="142">
        <v>78</v>
      </c>
      <c r="E158" s="139"/>
      <c r="F158" s="140"/>
      <c r="G158"/>
      <c r="H158"/>
      <c r="I158"/>
      <c r="J158"/>
      <c r="K158"/>
      <c r="L158"/>
      <c r="M158"/>
      <c r="N158"/>
      <c r="O158"/>
      <c r="P158"/>
    </row>
    <row r="159" spans="1:16" x14ac:dyDescent="0.25">
      <c r="A159" s="52"/>
      <c r="B159" s="117" t="s">
        <v>13</v>
      </c>
      <c r="C159" s="7">
        <v>156</v>
      </c>
      <c r="D159" s="143"/>
      <c r="E159" s="139"/>
      <c r="F159" s="140"/>
      <c r="G159"/>
      <c r="H159"/>
      <c r="I159"/>
      <c r="J159"/>
      <c r="K159"/>
      <c r="L159"/>
      <c r="M159"/>
      <c r="N159"/>
      <c r="O159"/>
      <c r="P159"/>
    </row>
    <row r="160" spans="1:16" ht="15.95" customHeight="1" x14ac:dyDescent="0.25">
      <c r="A160" s="52"/>
      <c r="B160" s="117" t="s">
        <v>13</v>
      </c>
      <c r="C160" s="7">
        <v>157</v>
      </c>
      <c r="D160" s="142">
        <v>79</v>
      </c>
      <c r="E160" s="139"/>
      <c r="F160" s="140"/>
      <c r="G160"/>
      <c r="H160"/>
      <c r="I160"/>
      <c r="J160"/>
      <c r="K160"/>
      <c r="L160"/>
      <c r="M160"/>
      <c r="N160"/>
      <c r="O160"/>
      <c r="P160"/>
    </row>
    <row r="161" spans="1:16" x14ac:dyDescent="0.25">
      <c r="A161" s="52"/>
      <c r="B161" s="117" t="s">
        <v>13</v>
      </c>
      <c r="C161" s="7">
        <v>158</v>
      </c>
      <c r="D161" s="143"/>
      <c r="E161" s="139"/>
      <c r="F161" s="140"/>
      <c r="G161"/>
      <c r="H161"/>
      <c r="I161"/>
      <c r="J161"/>
      <c r="K161"/>
      <c r="L161"/>
      <c r="M161"/>
      <c r="N161"/>
      <c r="O161"/>
      <c r="P161"/>
    </row>
    <row r="162" spans="1:16" x14ac:dyDescent="0.25">
      <c r="A162" s="52"/>
      <c r="B162" s="117" t="s">
        <v>13</v>
      </c>
      <c r="C162" s="7">
        <v>159</v>
      </c>
      <c r="D162" s="142">
        <v>80</v>
      </c>
      <c r="E162" s="139"/>
      <c r="F162" s="140"/>
      <c r="G162"/>
      <c r="H162"/>
      <c r="I162"/>
      <c r="J162"/>
      <c r="K162"/>
      <c r="L162"/>
      <c r="M162"/>
      <c r="N162"/>
      <c r="O162"/>
      <c r="P162"/>
    </row>
    <row r="163" spans="1:16" x14ac:dyDescent="0.25">
      <c r="A163" s="52"/>
      <c r="B163" s="117" t="s">
        <v>13</v>
      </c>
      <c r="C163" s="7">
        <v>160</v>
      </c>
      <c r="D163" s="143"/>
      <c r="E163" s="141"/>
      <c r="F163" s="140"/>
      <c r="G163"/>
      <c r="H163"/>
      <c r="I163"/>
      <c r="J163"/>
      <c r="K163"/>
      <c r="L163"/>
      <c r="M163"/>
      <c r="N163"/>
      <c r="O163"/>
      <c r="P163"/>
    </row>
    <row r="164" spans="1:16" ht="15.75" customHeight="1" x14ac:dyDescent="0.25">
      <c r="A164" s="52"/>
      <c r="B164" s="117" t="s">
        <v>13</v>
      </c>
      <c r="C164" s="7">
        <v>161</v>
      </c>
      <c r="D164" s="142">
        <v>81</v>
      </c>
      <c r="E164" s="138" t="s">
        <v>64</v>
      </c>
      <c r="F164" s="140"/>
      <c r="G164"/>
      <c r="H164"/>
      <c r="I164"/>
      <c r="J164"/>
      <c r="K164"/>
      <c r="L164"/>
      <c r="M164"/>
      <c r="N164"/>
      <c r="O164"/>
      <c r="P164"/>
    </row>
    <row r="165" spans="1:16" x14ac:dyDescent="0.25">
      <c r="A165" s="52"/>
      <c r="B165" s="117" t="s">
        <v>13</v>
      </c>
      <c r="C165" s="7">
        <v>162</v>
      </c>
      <c r="D165" s="143"/>
      <c r="E165" s="139"/>
      <c r="F165" s="140"/>
      <c r="G165"/>
      <c r="H165"/>
      <c r="I165"/>
      <c r="J165"/>
      <c r="K165"/>
      <c r="L165"/>
      <c r="M165"/>
      <c r="N165"/>
      <c r="O165"/>
      <c r="P165"/>
    </row>
    <row r="166" spans="1:16" x14ac:dyDescent="0.25">
      <c r="A166" s="52"/>
      <c r="B166" s="117" t="s">
        <v>13</v>
      </c>
      <c r="C166" s="7">
        <v>163</v>
      </c>
      <c r="D166" s="142">
        <v>82</v>
      </c>
      <c r="E166" s="139"/>
      <c r="F166" s="140"/>
      <c r="G166"/>
      <c r="H166"/>
      <c r="I166"/>
      <c r="J166"/>
      <c r="K166"/>
      <c r="L166"/>
      <c r="M166"/>
      <c r="N166"/>
      <c r="O166"/>
      <c r="P166"/>
    </row>
    <row r="167" spans="1:16" x14ac:dyDescent="0.25">
      <c r="A167" s="52"/>
      <c r="B167" s="117" t="s">
        <v>13</v>
      </c>
      <c r="C167" s="7">
        <v>164</v>
      </c>
      <c r="D167" s="143"/>
      <c r="E167" s="139"/>
      <c r="F167" s="140"/>
      <c r="G167"/>
      <c r="H167"/>
      <c r="I167"/>
      <c r="J167"/>
      <c r="K167"/>
      <c r="L167"/>
      <c r="M167"/>
      <c r="N167"/>
      <c r="O167"/>
      <c r="P167"/>
    </row>
    <row r="168" spans="1:16" x14ac:dyDescent="0.25">
      <c r="A168" s="52"/>
      <c r="B168" s="117" t="s">
        <v>13</v>
      </c>
      <c r="C168" s="7">
        <v>165</v>
      </c>
      <c r="D168" s="142">
        <v>83</v>
      </c>
      <c r="E168" s="139"/>
      <c r="F168" s="140"/>
      <c r="G168"/>
      <c r="H168"/>
      <c r="I168"/>
      <c r="J168"/>
      <c r="K168"/>
      <c r="L168"/>
      <c r="M168"/>
      <c r="N168"/>
      <c r="O168"/>
      <c r="P168"/>
    </row>
    <row r="169" spans="1:16" x14ac:dyDescent="0.25">
      <c r="A169" s="52"/>
      <c r="B169" s="117" t="s">
        <v>13</v>
      </c>
      <c r="C169" s="7">
        <v>166</v>
      </c>
      <c r="D169" s="143"/>
      <c r="E169" s="139"/>
      <c r="F169" s="140"/>
      <c r="G169"/>
      <c r="H169"/>
      <c r="I169"/>
      <c r="J169"/>
      <c r="K169"/>
      <c r="L169"/>
      <c r="M169"/>
      <c r="N169"/>
      <c r="O169"/>
      <c r="P169"/>
    </row>
    <row r="170" spans="1:16" x14ac:dyDescent="0.25">
      <c r="A170" s="52"/>
      <c r="B170" s="117" t="s">
        <v>13</v>
      </c>
      <c r="C170" s="7">
        <v>167</v>
      </c>
      <c r="D170" s="142">
        <v>84</v>
      </c>
      <c r="E170" s="139"/>
      <c r="F170" s="140"/>
      <c r="G170"/>
      <c r="H170"/>
      <c r="I170"/>
      <c r="J170"/>
      <c r="K170"/>
      <c r="L170"/>
      <c r="M170"/>
      <c r="N170"/>
      <c r="O170"/>
      <c r="P170"/>
    </row>
    <row r="171" spans="1:16" x14ac:dyDescent="0.25">
      <c r="A171" s="52"/>
      <c r="B171" s="117" t="s">
        <v>13</v>
      </c>
      <c r="C171" s="7">
        <v>168</v>
      </c>
      <c r="D171" s="143"/>
      <c r="E171" s="141"/>
      <c r="F171" s="140"/>
      <c r="G171"/>
      <c r="H171"/>
      <c r="I171"/>
      <c r="J171"/>
      <c r="K171"/>
      <c r="L171"/>
      <c r="M171"/>
      <c r="N171"/>
      <c r="O171"/>
      <c r="P171"/>
    </row>
    <row r="172" spans="1:16" ht="15.95" customHeight="1" x14ac:dyDescent="0.25">
      <c r="A172" s="52"/>
      <c r="B172" s="117" t="s">
        <v>13</v>
      </c>
      <c r="C172" s="7">
        <v>169</v>
      </c>
      <c r="D172" s="142">
        <v>85</v>
      </c>
      <c r="E172" s="138" t="s">
        <v>65</v>
      </c>
      <c r="F172" s="140"/>
      <c r="G172"/>
      <c r="H172"/>
      <c r="I172"/>
      <c r="J172"/>
      <c r="K172"/>
      <c r="L172"/>
      <c r="M172"/>
      <c r="N172"/>
      <c r="O172"/>
      <c r="P172"/>
    </row>
    <row r="173" spans="1:16" x14ac:dyDescent="0.25">
      <c r="A173" s="52"/>
      <c r="B173" s="117" t="s">
        <v>13</v>
      </c>
      <c r="C173" s="7">
        <v>170</v>
      </c>
      <c r="D173" s="143"/>
      <c r="E173" s="139"/>
      <c r="F173" s="140"/>
    </row>
    <row r="174" spans="1:16" x14ac:dyDescent="0.25">
      <c r="A174" s="52"/>
      <c r="B174" s="117" t="s">
        <v>13</v>
      </c>
      <c r="C174" s="7">
        <v>171</v>
      </c>
      <c r="D174" s="142">
        <v>86</v>
      </c>
      <c r="E174" s="139"/>
      <c r="F174" s="140"/>
    </row>
    <row r="175" spans="1:16" x14ac:dyDescent="0.25">
      <c r="A175" s="52"/>
      <c r="B175" s="117" t="s">
        <v>13</v>
      </c>
      <c r="C175" s="7">
        <v>172</v>
      </c>
      <c r="D175" s="143"/>
      <c r="E175" s="139"/>
      <c r="F175" s="140"/>
    </row>
    <row r="176" spans="1:16" x14ac:dyDescent="0.25">
      <c r="A176" s="52"/>
      <c r="B176" s="117" t="s">
        <v>13</v>
      </c>
      <c r="C176" s="7">
        <v>173</v>
      </c>
      <c r="D176" s="142">
        <v>87</v>
      </c>
      <c r="E176" s="139"/>
      <c r="F176" s="140"/>
    </row>
    <row r="177" spans="1:16" x14ac:dyDescent="0.25">
      <c r="A177" s="52"/>
      <c r="B177" s="117" t="s">
        <v>13</v>
      </c>
      <c r="C177" s="7">
        <v>174</v>
      </c>
      <c r="D177" s="143"/>
      <c r="E177" s="139"/>
      <c r="F177" s="140"/>
    </row>
    <row r="178" spans="1:16" x14ac:dyDescent="0.25">
      <c r="A178" s="52"/>
      <c r="B178" s="117" t="s">
        <v>13</v>
      </c>
      <c r="C178" s="7">
        <v>175</v>
      </c>
      <c r="D178" s="142">
        <v>88</v>
      </c>
      <c r="E178" s="139"/>
      <c r="F178" s="140"/>
    </row>
    <row r="179" spans="1:16" x14ac:dyDescent="0.25">
      <c r="A179" s="52"/>
      <c r="B179" s="117" t="s">
        <v>13</v>
      </c>
      <c r="C179" s="7">
        <v>176</v>
      </c>
      <c r="D179" s="143"/>
      <c r="E179" s="141"/>
      <c r="F179" s="140"/>
    </row>
    <row r="180" spans="1:16" ht="15.75" customHeight="1" x14ac:dyDescent="0.25">
      <c r="A180" s="52"/>
      <c r="B180" s="117" t="s">
        <v>13</v>
      </c>
      <c r="C180" s="7">
        <v>177</v>
      </c>
      <c r="D180" s="142">
        <v>89</v>
      </c>
      <c r="E180" s="138" t="s">
        <v>66</v>
      </c>
      <c r="F180" s="140"/>
    </row>
    <row r="181" spans="1:16" x14ac:dyDescent="0.25">
      <c r="A181" s="52"/>
      <c r="B181" s="117" t="s">
        <v>13</v>
      </c>
      <c r="C181" s="7">
        <v>178</v>
      </c>
      <c r="D181" s="143"/>
      <c r="E181" s="139"/>
      <c r="F181" s="140"/>
    </row>
    <row r="182" spans="1:16" x14ac:dyDescent="0.25">
      <c r="A182" s="52"/>
      <c r="B182" s="117" t="s">
        <v>13</v>
      </c>
      <c r="C182" s="7">
        <v>179</v>
      </c>
      <c r="D182" s="142">
        <v>90</v>
      </c>
      <c r="E182" s="139"/>
      <c r="F182" s="140"/>
    </row>
    <row r="183" spans="1:16" x14ac:dyDescent="0.25">
      <c r="A183" s="52"/>
      <c r="B183" s="117" t="s">
        <v>13</v>
      </c>
      <c r="C183" s="7">
        <v>180</v>
      </c>
      <c r="D183" s="143"/>
      <c r="E183" s="139"/>
      <c r="F183" s="140"/>
    </row>
    <row r="184" spans="1:16" ht="15.95" customHeight="1" x14ac:dyDescent="0.25">
      <c r="A184" s="52"/>
      <c r="B184" s="117" t="s">
        <v>13</v>
      </c>
      <c r="C184" s="7">
        <v>181</v>
      </c>
      <c r="D184" s="142">
        <v>91</v>
      </c>
      <c r="E184" s="139"/>
      <c r="F184" s="140"/>
    </row>
    <row r="185" spans="1:16" x14ac:dyDescent="0.25">
      <c r="A185" s="52"/>
      <c r="B185" s="117" t="s">
        <v>13</v>
      </c>
      <c r="C185" s="7">
        <v>182</v>
      </c>
      <c r="D185" s="143"/>
      <c r="E185" s="139"/>
      <c r="F185" s="140"/>
    </row>
    <row r="186" spans="1:16" x14ac:dyDescent="0.25">
      <c r="A186" s="52"/>
      <c r="B186" s="117" t="s">
        <v>13</v>
      </c>
      <c r="C186" s="7">
        <v>183</v>
      </c>
      <c r="D186" s="142">
        <v>92</v>
      </c>
      <c r="E186" s="139"/>
      <c r="F186" s="140"/>
    </row>
    <row r="187" spans="1:16" x14ac:dyDescent="0.25">
      <c r="A187" s="52"/>
      <c r="B187" s="117" t="s">
        <v>13</v>
      </c>
      <c r="C187" s="7">
        <v>184</v>
      </c>
      <c r="D187" s="143"/>
      <c r="E187" s="141"/>
      <c r="F187" s="140"/>
    </row>
    <row r="188" spans="1:16" ht="15.75" customHeight="1" x14ac:dyDescent="0.25">
      <c r="A188" s="52"/>
      <c r="B188" s="117" t="s">
        <v>13</v>
      </c>
      <c r="C188" s="7">
        <v>185</v>
      </c>
      <c r="D188" s="142">
        <v>93</v>
      </c>
      <c r="E188" s="138" t="s">
        <v>67</v>
      </c>
      <c r="F188" s="140"/>
      <c r="P188"/>
    </row>
    <row r="189" spans="1:16" x14ac:dyDescent="0.25">
      <c r="A189" s="52"/>
      <c r="B189" s="117" t="s">
        <v>13</v>
      </c>
      <c r="C189" s="7">
        <v>186</v>
      </c>
      <c r="D189" s="143"/>
      <c r="E189" s="139"/>
      <c r="F189" s="140"/>
      <c r="P189"/>
    </row>
    <row r="190" spans="1:16" x14ac:dyDescent="0.25">
      <c r="A190" s="52"/>
      <c r="B190" s="117" t="s">
        <v>13</v>
      </c>
      <c r="C190" s="7">
        <v>187</v>
      </c>
      <c r="D190" s="142">
        <v>94</v>
      </c>
      <c r="E190" s="139"/>
      <c r="F190" s="140"/>
      <c r="P190"/>
    </row>
    <row r="191" spans="1:16" x14ac:dyDescent="0.25">
      <c r="A191" s="52"/>
      <c r="B191" s="117" t="s">
        <v>13</v>
      </c>
      <c r="C191" s="7">
        <v>188</v>
      </c>
      <c r="D191" s="143"/>
      <c r="E191" s="139"/>
      <c r="F191" s="140"/>
      <c r="P191"/>
    </row>
    <row r="192" spans="1:16" x14ac:dyDescent="0.25">
      <c r="A192" s="52"/>
      <c r="B192" s="117" t="s">
        <v>13</v>
      </c>
      <c r="C192" s="7">
        <v>189</v>
      </c>
      <c r="D192" s="142">
        <v>95</v>
      </c>
      <c r="E192" s="139"/>
      <c r="F192" s="140"/>
      <c r="P192"/>
    </row>
    <row r="193" spans="1:16" x14ac:dyDescent="0.25">
      <c r="A193" s="52"/>
      <c r="B193" s="117" t="s">
        <v>13</v>
      </c>
      <c r="C193" s="7">
        <v>190</v>
      </c>
      <c r="D193" s="143"/>
      <c r="E193" s="139"/>
      <c r="F193" s="140"/>
      <c r="P193"/>
    </row>
    <row r="194" spans="1:16" x14ac:dyDescent="0.25">
      <c r="A194" s="52"/>
      <c r="B194" s="117" t="s">
        <v>13</v>
      </c>
      <c r="C194" s="7">
        <v>191</v>
      </c>
      <c r="D194" s="142">
        <v>96</v>
      </c>
      <c r="E194" s="139"/>
      <c r="F194" s="140"/>
      <c r="P194"/>
    </row>
    <row r="195" spans="1:16" x14ac:dyDescent="0.25">
      <c r="A195" s="52"/>
      <c r="B195" s="117" t="s">
        <v>13</v>
      </c>
      <c r="C195" s="7">
        <v>192</v>
      </c>
      <c r="D195" s="143"/>
      <c r="E195" s="141"/>
      <c r="F195" s="140"/>
      <c r="P195"/>
    </row>
    <row r="196" spans="1:16" x14ac:dyDescent="0.25">
      <c r="A196" s="52"/>
      <c r="B196" s="117" t="s">
        <v>13</v>
      </c>
      <c r="C196" s="7">
        <v>193</v>
      </c>
      <c r="D196" s="142">
        <v>97</v>
      </c>
      <c r="E196" s="138" t="s">
        <v>68</v>
      </c>
      <c r="F196" s="140"/>
    </row>
    <row r="197" spans="1:16" x14ac:dyDescent="0.25">
      <c r="A197" s="52"/>
      <c r="B197" s="117" t="s">
        <v>13</v>
      </c>
      <c r="C197" s="7">
        <v>194</v>
      </c>
      <c r="D197" s="143"/>
      <c r="E197" s="139"/>
      <c r="F197" s="140"/>
    </row>
    <row r="198" spans="1:16" x14ac:dyDescent="0.25">
      <c r="A198" s="52"/>
      <c r="B198" s="117" t="s">
        <v>13</v>
      </c>
      <c r="C198" s="7">
        <v>195</v>
      </c>
      <c r="D198" s="142">
        <v>98</v>
      </c>
      <c r="E198" s="139"/>
      <c r="F198" s="140"/>
    </row>
    <row r="199" spans="1:16" x14ac:dyDescent="0.25">
      <c r="A199" s="52"/>
      <c r="B199" s="117" t="s">
        <v>13</v>
      </c>
      <c r="C199" s="7">
        <v>196</v>
      </c>
      <c r="D199" s="143"/>
      <c r="E199" s="139"/>
      <c r="F199" s="140"/>
    </row>
    <row r="200" spans="1:16" x14ac:dyDescent="0.25">
      <c r="A200" s="52"/>
      <c r="B200" s="117" t="s">
        <v>13</v>
      </c>
      <c r="C200" s="7">
        <v>197</v>
      </c>
      <c r="D200" s="142">
        <v>99</v>
      </c>
      <c r="E200" s="139"/>
      <c r="F200" s="140"/>
    </row>
    <row r="201" spans="1:16" x14ac:dyDescent="0.25">
      <c r="A201" s="52"/>
      <c r="B201" s="117" t="s">
        <v>13</v>
      </c>
      <c r="C201" s="7">
        <v>198</v>
      </c>
      <c r="D201" s="143"/>
      <c r="E201" s="139"/>
      <c r="F201" s="140"/>
    </row>
    <row r="202" spans="1:16" x14ac:dyDescent="0.25">
      <c r="A202" s="52"/>
      <c r="B202" s="117" t="s">
        <v>13</v>
      </c>
      <c r="C202" s="7">
        <v>199</v>
      </c>
      <c r="D202" s="142">
        <v>100</v>
      </c>
      <c r="E202" s="139"/>
      <c r="F202" s="140"/>
    </row>
    <row r="203" spans="1:16" x14ac:dyDescent="0.25">
      <c r="A203" s="52"/>
      <c r="B203" s="117" t="s">
        <v>13</v>
      </c>
      <c r="C203" s="7">
        <v>200</v>
      </c>
      <c r="D203" s="143"/>
      <c r="E203" s="141"/>
      <c r="F203" s="140"/>
    </row>
    <row r="204" spans="1:16" x14ac:dyDescent="0.25">
      <c r="A204" s="52"/>
      <c r="B204" s="117" t="s">
        <v>13</v>
      </c>
      <c r="C204" s="7">
        <v>201</v>
      </c>
      <c r="D204" s="142">
        <v>101</v>
      </c>
      <c r="E204" s="138" t="s">
        <v>69</v>
      </c>
      <c r="F204" s="140"/>
    </row>
    <row r="205" spans="1:16" x14ac:dyDescent="0.25">
      <c r="A205" s="52"/>
      <c r="B205" s="117" t="s">
        <v>13</v>
      </c>
      <c r="C205" s="7">
        <v>202</v>
      </c>
      <c r="D205" s="143"/>
      <c r="E205" s="139"/>
      <c r="F205" s="140"/>
    </row>
    <row r="206" spans="1:16" x14ac:dyDescent="0.25">
      <c r="A206" s="52"/>
      <c r="B206" s="117" t="s">
        <v>13</v>
      </c>
      <c r="C206" s="7">
        <v>203</v>
      </c>
      <c r="D206" s="142">
        <v>102</v>
      </c>
      <c r="E206" s="139"/>
      <c r="F206" s="140"/>
    </row>
    <row r="207" spans="1:16" x14ac:dyDescent="0.25">
      <c r="A207" s="52"/>
      <c r="B207" s="117" t="s">
        <v>13</v>
      </c>
      <c r="C207" s="7">
        <v>204</v>
      </c>
      <c r="D207" s="143"/>
      <c r="E207" s="139"/>
      <c r="F207" s="140"/>
    </row>
    <row r="208" spans="1:16" x14ac:dyDescent="0.25">
      <c r="A208" s="52"/>
      <c r="B208" s="117" t="s">
        <v>13</v>
      </c>
      <c r="C208" s="7">
        <v>205</v>
      </c>
      <c r="D208" s="142">
        <v>103</v>
      </c>
      <c r="E208" s="139"/>
      <c r="F208" s="140"/>
    </row>
    <row r="209" spans="1:6" x14ac:dyDescent="0.25">
      <c r="A209" s="52"/>
      <c r="B209" s="117" t="s">
        <v>13</v>
      </c>
      <c r="C209" s="7">
        <v>206</v>
      </c>
      <c r="D209" s="143"/>
      <c r="E209" s="139"/>
      <c r="F209" s="140"/>
    </row>
    <row r="210" spans="1:6" x14ac:dyDescent="0.25">
      <c r="A210" s="52"/>
      <c r="B210" s="117" t="s">
        <v>13</v>
      </c>
      <c r="C210" s="7">
        <v>207</v>
      </c>
      <c r="D210" s="142">
        <v>104</v>
      </c>
      <c r="E210" s="139"/>
      <c r="F210" s="140"/>
    </row>
    <row r="211" spans="1:6" x14ac:dyDescent="0.25">
      <c r="A211" s="52"/>
      <c r="B211" s="117" t="s">
        <v>13</v>
      </c>
      <c r="C211" s="7">
        <v>208</v>
      </c>
      <c r="D211" s="143"/>
      <c r="E211" s="141"/>
      <c r="F211" s="140"/>
    </row>
    <row r="212" spans="1:6" x14ac:dyDescent="0.25">
      <c r="A212" s="52"/>
      <c r="B212" s="117" t="s">
        <v>13</v>
      </c>
      <c r="C212" s="7">
        <v>209</v>
      </c>
      <c r="D212" s="142">
        <v>105</v>
      </c>
      <c r="E212" s="138" t="s">
        <v>70</v>
      </c>
      <c r="F212" s="140"/>
    </row>
    <row r="213" spans="1:6" x14ac:dyDescent="0.25">
      <c r="A213" s="52"/>
      <c r="B213" s="117" t="s">
        <v>13</v>
      </c>
      <c r="C213" s="7">
        <v>210</v>
      </c>
      <c r="D213" s="143"/>
      <c r="E213" s="139"/>
      <c r="F213" s="140"/>
    </row>
    <row r="214" spans="1:6" x14ac:dyDescent="0.25">
      <c r="A214" s="52"/>
      <c r="B214" s="117" t="s">
        <v>13</v>
      </c>
      <c r="C214" s="7">
        <v>211</v>
      </c>
      <c r="D214" s="142">
        <v>106</v>
      </c>
      <c r="E214" s="139"/>
      <c r="F214" s="140"/>
    </row>
    <row r="215" spans="1:6" x14ac:dyDescent="0.25">
      <c r="A215" s="52"/>
      <c r="B215" s="117" t="s">
        <v>13</v>
      </c>
      <c r="C215" s="7">
        <v>212</v>
      </c>
      <c r="D215" s="143"/>
      <c r="E215" s="139"/>
      <c r="F215" s="140"/>
    </row>
    <row r="216" spans="1:6" x14ac:dyDescent="0.25">
      <c r="A216" s="52"/>
      <c r="B216" s="117" t="s">
        <v>13</v>
      </c>
      <c r="C216" s="7">
        <v>213</v>
      </c>
      <c r="D216" s="142">
        <v>107</v>
      </c>
      <c r="E216" s="139"/>
      <c r="F216" s="140"/>
    </row>
    <row r="217" spans="1:6" x14ac:dyDescent="0.25">
      <c r="A217" s="52"/>
      <c r="B217" s="117" t="s">
        <v>13</v>
      </c>
      <c r="C217" s="7">
        <v>214</v>
      </c>
      <c r="D217" s="143"/>
      <c r="E217" s="139"/>
      <c r="F217" s="140"/>
    </row>
    <row r="218" spans="1:6" x14ac:dyDescent="0.25">
      <c r="A218" s="52"/>
      <c r="B218" s="117" t="s">
        <v>13</v>
      </c>
      <c r="C218" s="7">
        <v>215</v>
      </c>
      <c r="D218" s="142">
        <v>108</v>
      </c>
      <c r="E218" s="139"/>
      <c r="F218" s="140"/>
    </row>
    <row r="219" spans="1:6" x14ac:dyDescent="0.25">
      <c r="A219" s="52"/>
      <c r="B219" s="117" t="s">
        <v>13</v>
      </c>
      <c r="C219" s="7">
        <v>216</v>
      </c>
      <c r="D219" s="143"/>
      <c r="E219" s="141"/>
      <c r="F219" s="140"/>
    </row>
    <row r="220" spans="1:6" x14ac:dyDescent="0.25">
      <c r="A220" s="52"/>
      <c r="B220" s="117" t="s">
        <v>13</v>
      </c>
      <c r="C220" s="7">
        <v>217</v>
      </c>
      <c r="D220" s="142">
        <v>109</v>
      </c>
      <c r="E220" s="138" t="s">
        <v>71</v>
      </c>
      <c r="F220" s="140"/>
    </row>
    <row r="221" spans="1:6" x14ac:dyDescent="0.25">
      <c r="A221" s="52"/>
      <c r="B221" s="117" t="s">
        <v>13</v>
      </c>
      <c r="C221" s="7">
        <v>218</v>
      </c>
      <c r="D221" s="143"/>
      <c r="E221" s="139"/>
      <c r="F221" s="140"/>
    </row>
    <row r="222" spans="1:6" x14ac:dyDescent="0.25">
      <c r="A222" s="52"/>
      <c r="B222" s="117" t="s">
        <v>13</v>
      </c>
      <c r="C222" s="7">
        <v>219</v>
      </c>
      <c r="D222" s="142">
        <v>110</v>
      </c>
      <c r="E222" s="139"/>
      <c r="F222" s="140"/>
    </row>
    <row r="223" spans="1:6" x14ac:dyDescent="0.25">
      <c r="A223" s="52"/>
      <c r="B223" s="117" t="s">
        <v>13</v>
      </c>
      <c r="C223" s="7">
        <v>220</v>
      </c>
      <c r="D223" s="143"/>
      <c r="E223" s="139"/>
      <c r="F223" s="140"/>
    </row>
    <row r="224" spans="1:6" x14ac:dyDescent="0.25">
      <c r="A224" s="52"/>
      <c r="B224" s="117" t="s">
        <v>13</v>
      </c>
      <c r="C224" s="7">
        <v>221</v>
      </c>
      <c r="D224" s="142">
        <v>111</v>
      </c>
      <c r="E224" s="139"/>
      <c r="F224" s="140"/>
    </row>
    <row r="225" spans="1:16" x14ac:dyDescent="0.25">
      <c r="A225" s="52"/>
      <c r="B225" s="117" t="s">
        <v>13</v>
      </c>
      <c r="C225" s="7">
        <v>222</v>
      </c>
      <c r="D225" s="143"/>
      <c r="E225" s="139"/>
      <c r="F225" s="140"/>
    </row>
    <row r="226" spans="1:16" x14ac:dyDescent="0.25">
      <c r="A226" s="52"/>
      <c r="B226" s="117" t="s">
        <v>13</v>
      </c>
      <c r="C226" s="7">
        <v>223</v>
      </c>
      <c r="D226" s="142">
        <v>112</v>
      </c>
      <c r="E226" s="139"/>
      <c r="F226" s="140"/>
    </row>
    <row r="227" spans="1:16" x14ac:dyDescent="0.25">
      <c r="A227" s="52"/>
      <c r="B227" s="117" t="s">
        <v>13</v>
      </c>
      <c r="C227" s="7">
        <v>224</v>
      </c>
      <c r="D227" s="143"/>
      <c r="E227" s="141"/>
      <c r="F227" s="140"/>
    </row>
    <row r="228" spans="1:16" x14ac:dyDescent="0.25">
      <c r="P228"/>
    </row>
    <row r="229" spans="1:16" x14ac:dyDescent="0.25">
      <c r="P229"/>
    </row>
    <row r="230" spans="1:16" x14ac:dyDescent="0.25">
      <c r="P230"/>
    </row>
    <row r="231" spans="1:16" x14ac:dyDescent="0.25">
      <c r="P231"/>
    </row>
    <row r="232" spans="1:16" x14ac:dyDescent="0.25">
      <c r="P232"/>
    </row>
    <row r="233" spans="1:16" x14ac:dyDescent="0.25">
      <c r="P233"/>
    </row>
    <row r="234" spans="1:16" x14ac:dyDescent="0.25">
      <c r="P234"/>
    </row>
    <row r="235" spans="1:16" x14ac:dyDescent="0.25">
      <c r="P235"/>
    </row>
    <row r="236" spans="1:16" x14ac:dyDescent="0.25">
      <c r="P236"/>
    </row>
    <row r="237" spans="1:16" x14ac:dyDescent="0.25">
      <c r="P237"/>
    </row>
    <row r="238" spans="1:16" x14ac:dyDescent="0.25">
      <c r="P238"/>
    </row>
    <row r="239" spans="1:16" x14ac:dyDescent="0.25">
      <c r="P239"/>
    </row>
    <row r="240" spans="1:16" x14ac:dyDescent="0.25">
      <c r="P240"/>
    </row>
    <row r="241" spans="16:16" x14ac:dyDescent="0.25">
      <c r="P241"/>
    </row>
    <row r="242" spans="16:16" x14ac:dyDescent="0.25">
      <c r="P242"/>
    </row>
    <row r="243" spans="16:16" x14ac:dyDescent="0.25">
      <c r="P243"/>
    </row>
    <row r="244" spans="16:16" x14ac:dyDescent="0.25">
      <c r="P244"/>
    </row>
    <row r="245" spans="16:16" x14ac:dyDescent="0.25">
      <c r="P245"/>
    </row>
    <row r="246" spans="16:16" x14ac:dyDescent="0.25">
      <c r="P246"/>
    </row>
    <row r="247" spans="16:16" x14ac:dyDescent="0.25">
      <c r="P247"/>
    </row>
    <row r="248" spans="16:16" x14ac:dyDescent="0.25">
      <c r="P248"/>
    </row>
    <row r="249" spans="16:16" x14ac:dyDescent="0.25">
      <c r="P249"/>
    </row>
    <row r="250" spans="16:16" x14ac:dyDescent="0.25">
      <c r="P250"/>
    </row>
    <row r="251" spans="16:16" x14ac:dyDescent="0.25">
      <c r="P251"/>
    </row>
    <row r="252" spans="16:16" x14ac:dyDescent="0.25">
      <c r="P252"/>
    </row>
    <row r="253" spans="16:16" x14ac:dyDescent="0.25">
      <c r="P253"/>
    </row>
    <row r="254" spans="16:16" x14ac:dyDescent="0.25">
      <c r="P254"/>
    </row>
    <row r="255" spans="16:16" x14ac:dyDescent="0.25">
      <c r="P255"/>
    </row>
    <row r="256" spans="16:16" x14ac:dyDescent="0.25">
      <c r="P256"/>
    </row>
    <row r="257" spans="16:16" x14ac:dyDescent="0.25">
      <c r="P257"/>
    </row>
    <row r="258" spans="16:16" x14ac:dyDescent="0.25">
      <c r="P258"/>
    </row>
    <row r="259" spans="16:16" x14ac:dyDescent="0.25">
      <c r="P259"/>
    </row>
    <row r="260" spans="16:16" x14ac:dyDescent="0.25">
      <c r="P260"/>
    </row>
    <row r="261" spans="16:16" x14ac:dyDescent="0.25">
      <c r="P261"/>
    </row>
    <row r="262" spans="16:16" x14ac:dyDescent="0.25">
      <c r="P262"/>
    </row>
    <row r="263" spans="16:16" x14ac:dyDescent="0.25">
      <c r="P263"/>
    </row>
    <row r="264" spans="16:16" x14ac:dyDescent="0.25">
      <c r="P264"/>
    </row>
    <row r="265" spans="16:16" x14ac:dyDescent="0.25">
      <c r="P265"/>
    </row>
    <row r="266" spans="16:16" x14ac:dyDescent="0.25">
      <c r="P266"/>
    </row>
    <row r="267" spans="16:16" x14ac:dyDescent="0.25">
      <c r="P267"/>
    </row>
    <row r="268" spans="16:16" x14ac:dyDescent="0.25">
      <c r="P268"/>
    </row>
    <row r="269" spans="16:16" x14ac:dyDescent="0.25">
      <c r="P269"/>
    </row>
    <row r="270" spans="16:16" x14ac:dyDescent="0.25">
      <c r="P270"/>
    </row>
    <row r="271" spans="16:16" x14ac:dyDescent="0.25">
      <c r="P271"/>
    </row>
    <row r="272" spans="16:16" x14ac:dyDescent="0.25">
      <c r="P272"/>
    </row>
    <row r="273" spans="1:19" s="3" customFormat="1" x14ac:dyDescent="0.25">
      <c r="A273"/>
      <c r="B273" s="115"/>
      <c r="C27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/>
      <c r="Q273"/>
      <c r="R273"/>
      <c r="S273"/>
    </row>
    <row r="274" spans="1:19" x14ac:dyDescent="0.25">
      <c r="P274"/>
    </row>
    <row r="275" spans="1:19" x14ac:dyDescent="0.25">
      <c r="P275"/>
    </row>
    <row r="276" spans="1:19" x14ac:dyDescent="0.25">
      <c r="P276"/>
    </row>
    <row r="277" spans="1:19" x14ac:dyDescent="0.25">
      <c r="P277"/>
    </row>
    <row r="278" spans="1:19" x14ac:dyDescent="0.25">
      <c r="P278"/>
    </row>
    <row r="279" spans="1:19" x14ac:dyDescent="0.25">
      <c r="P279"/>
    </row>
    <row r="280" spans="1:19" x14ac:dyDescent="0.25">
      <c r="P280"/>
    </row>
    <row r="281" spans="1:19" x14ac:dyDescent="0.25">
      <c r="P281"/>
    </row>
    <row r="282" spans="1:19" x14ac:dyDescent="0.25">
      <c r="P282"/>
    </row>
    <row r="283" spans="1:19" x14ac:dyDescent="0.25">
      <c r="P283"/>
    </row>
  </sheetData>
  <autoFilter ref="A3:A89" xr:uid="{00000000-0009-0000-0000-000000000000}">
    <sortState xmlns:xlrd2="http://schemas.microsoft.com/office/spreadsheetml/2017/richdata2" ref="A4:A91">
      <sortCondition ref="A3:A89"/>
    </sortState>
  </autoFilter>
  <mergeCells count="171">
    <mergeCell ref="D220:D221"/>
    <mergeCell ref="E220:E227"/>
    <mergeCell ref="F220:F227"/>
    <mergeCell ref="D222:D223"/>
    <mergeCell ref="D224:D225"/>
    <mergeCell ref="D226:D227"/>
    <mergeCell ref="D196:D197"/>
    <mergeCell ref="E196:E203"/>
    <mergeCell ref="F196:F203"/>
    <mergeCell ref="D198:D199"/>
    <mergeCell ref="D200:D201"/>
    <mergeCell ref="D202:D203"/>
    <mergeCell ref="D204:D205"/>
    <mergeCell ref="E204:E211"/>
    <mergeCell ref="F204:F211"/>
    <mergeCell ref="D206:D207"/>
    <mergeCell ref="D192:D193"/>
    <mergeCell ref="D194:D195"/>
    <mergeCell ref="D172:D173"/>
    <mergeCell ref="E172:E179"/>
    <mergeCell ref="D212:D213"/>
    <mergeCell ref="E212:E219"/>
    <mergeCell ref="F212:F219"/>
    <mergeCell ref="D214:D215"/>
    <mergeCell ref="D216:D217"/>
    <mergeCell ref="D218:D219"/>
    <mergeCell ref="D174:D175"/>
    <mergeCell ref="D176:D177"/>
    <mergeCell ref="D178:D179"/>
    <mergeCell ref="D180:D181"/>
    <mergeCell ref="E180:E187"/>
    <mergeCell ref="D182:D183"/>
    <mergeCell ref="D186:D187"/>
    <mergeCell ref="F44:F51"/>
    <mergeCell ref="F52:F59"/>
    <mergeCell ref="F60:F67"/>
    <mergeCell ref="F68:F75"/>
    <mergeCell ref="D208:D209"/>
    <mergeCell ref="D210:D211"/>
    <mergeCell ref="F148:F155"/>
    <mergeCell ref="F156:F163"/>
    <mergeCell ref="F164:F171"/>
    <mergeCell ref="F172:F179"/>
    <mergeCell ref="F180:F187"/>
    <mergeCell ref="F188:F195"/>
    <mergeCell ref="F76:F83"/>
    <mergeCell ref="F84:F91"/>
    <mergeCell ref="F92:F99"/>
    <mergeCell ref="F100:F107"/>
    <mergeCell ref="F108:F115"/>
    <mergeCell ref="F116:F123"/>
    <mergeCell ref="F124:F131"/>
    <mergeCell ref="F132:F139"/>
    <mergeCell ref="F140:F147"/>
    <mergeCell ref="D188:D189"/>
    <mergeCell ref="E188:E195"/>
    <mergeCell ref="D190:D191"/>
    <mergeCell ref="D156:D157"/>
    <mergeCell ref="E156:E163"/>
    <mergeCell ref="D158:D159"/>
    <mergeCell ref="D160:D161"/>
    <mergeCell ref="D162:D163"/>
    <mergeCell ref="D164:D165"/>
    <mergeCell ref="E164:E171"/>
    <mergeCell ref="D166:D167"/>
    <mergeCell ref="D168:D169"/>
    <mergeCell ref="D170:D171"/>
    <mergeCell ref="D140:D141"/>
    <mergeCell ref="E140:E147"/>
    <mergeCell ref="D142:D143"/>
    <mergeCell ref="D144:D145"/>
    <mergeCell ref="D146:D147"/>
    <mergeCell ref="D148:D149"/>
    <mergeCell ref="E148:E155"/>
    <mergeCell ref="D92:D93"/>
    <mergeCell ref="D94:D95"/>
    <mergeCell ref="D96:D97"/>
    <mergeCell ref="D100:D101"/>
    <mergeCell ref="E100:E107"/>
    <mergeCell ref="D102:D103"/>
    <mergeCell ref="D104:D105"/>
    <mergeCell ref="D106:D107"/>
    <mergeCell ref="D108:D109"/>
    <mergeCell ref="E108:E115"/>
    <mergeCell ref="D110:D111"/>
    <mergeCell ref="D112:D113"/>
    <mergeCell ref="D114:D115"/>
    <mergeCell ref="D116:D117"/>
    <mergeCell ref="E116:E123"/>
    <mergeCell ref="D118:D119"/>
    <mergeCell ref="D120:D121"/>
    <mergeCell ref="D130:D131"/>
    <mergeCell ref="D132:D133"/>
    <mergeCell ref="E132:E139"/>
    <mergeCell ref="D134:D135"/>
    <mergeCell ref="D136:D137"/>
    <mergeCell ref="D138:D139"/>
    <mergeCell ref="D66:D67"/>
    <mergeCell ref="D64:D65"/>
    <mergeCell ref="E76:E83"/>
    <mergeCell ref="E84:E91"/>
    <mergeCell ref="D82:D83"/>
    <mergeCell ref="D86:D87"/>
    <mergeCell ref="D84:D85"/>
    <mergeCell ref="D60:D61"/>
    <mergeCell ref="D68:D69"/>
    <mergeCell ref="D70:D71"/>
    <mergeCell ref="D72:D73"/>
    <mergeCell ref="D74:D75"/>
    <mergeCell ref="D76:D77"/>
    <mergeCell ref="D78:D79"/>
    <mergeCell ref="D80:D81"/>
    <mergeCell ref="D128:D129"/>
    <mergeCell ref="D150:D151"/>
    <mergeCell ref="D152:D153"/>
    <mergeCell ref="I1:J1"/>
    <mergeCell ref="N1:O1"/>
    <mergeCell ref="D50:D51"/>
    <mergeCell ref="D122:D123"/>
    <mergeCell ref="D124:D125"/>
    <mergeCell ref="D154:D155"/>
    <mergeCell ref="D184:D185"/>
    <mergeCell ref="E92:E99"/>
    <mergeCell ref="D4:D5"/>
    <mergeCell ref="D6:D7"/>
    <mergeCell ref="D8:D9"/>
    <mergeCell ref="D10:D11"/>
    <mergeCell ref="D12:D13"/>
    <mergeCell ref="D24:D25"/>
    <mergeCell ref="D26:D27"/>
    <mergeCell ref="D28:D29"/>
    <mergeCell ref="D30:D31"/>
    <mergeCell ref="D32:D33"/>
    <mergeCell ref="D14:D15"/>
    <mergeCell ref="D16:D17"/>
    <mergeCell ref="D18:D19"/>
    <mergeCell ref="D20:D21"/>
    <mergeCell ref="E44:E51"/>
    <mergeCell ref="E52:E59"/>
    <mergeCell ref="E124:E131"/>
    <mergeCell ref="D126:D127"/>
    <mergeCell ref="E4:E11"/>
    <mergeCell ref="D36:D37"/>
    <mergeCell ref="D38:D39"/>
    <mergeCell ref="D40:D41"/>
    <mergeCell ref="D42:D43"/>
    <mergeCell ref="D54:D55"/>
    <mergeCell ref="D56:D57"/>
    <mergeCell ref="D62:D63"/>
    <mergeCell ref="D22:D23"/>
    <mergeCell ref="D44:D45"/>
    <mergeCell ref="E60:E67"/>
    <mergeCell ref="E68:E75"/>
    <mergeCell ref="D58:D59"/>
    <mergeCell ref="D46:D47"/>
    <mergeCell ref="D48:D49"/>
    <mergeCell ref="D52:D53"/>
    <mergeCell ref="D98:D99"/>
    <mergeCell ref="D88:D89"/>
    <mergeCell ref="D90:D91"/>
    <mergeCell ref="D34:D35"/>
    <mergeCell ref="R1:S1"/>
    <mergeCell ref="E12:E19"/>
    <mergeCell ref="E20:E27"/>
    <mergeCell ref="E28:E35"/>
    <mergeCell ref="F4:F11"/>
    <mergeCell ref="F12:F19"/>
    <mergeCell ref="F20:F27"/>
    <mergeCell ref="F28:F35"/>
    <mergeCell ref="E36:E43"/>
    <mergeCell ref="F36:F43"/>
  </mergeCells>
  <phoneticPr fontId="12" type="noConversion"/>
  <conditionalFormatting sqref="F4">
    <cfRule type="containsText" dxfId="71" priority="47" operator="containsText" text="Alpha/TMPRSS2">
      <formula>NOT(ISERROR(SEARCH("Alpha/TMPRSS2",F4)))</formula>
    </cfRule>
    <cfRule type="containsText" dxfId="70" priority="46" operator="containsText" text="Beta/TMPRSS2">
      <formula>NOT(ISERROR(SEARCH("Beta/TMPRSS2",F4)))</formula>
    </cfRule>
    <cfRule type="containsText" dxfId="69" priority="45" operator="containsText" text="Gamma">
      <formula>NOT(ISERROR(SEARCH("Gamma",F4)))</formula>
    </cfRule>
    <cfRule type="containsText" dxfId="68" priority="44" operator="containsText" text="BQ.1.1">
      <formula>NOT(ISERROR(SEARCH("BQ.1.1",F4)))</formula>
    </cfRule>
    <cfRule type="containsText" dxfId="67" priority="43" operator="containsText" text="CH.1.1">
      <formula>NOT(ISERROR(SEARCH("CH.1.1",F4)))</formula>
    </cfRule>
    <cfRule type="containsText" dxfId="66" priority="42" operator="containsText" text="XBB.1">
      <formula>NOT(ISERROR(SEARCH("XBB.1",F4)))</formula>
    </cfRule>
    <cfRule type="containsText" dxfId="65" priority="41" operator="containsText" text="XBB.1.5">
      <formula>NOT(ISERROR(SEARCH("XBB.1.5",F4)))</formula>
    </cfRule>
    <cfRule type="containsText" dxfId="64" priority="50" operator="containsText" text="BA.2">
      <formula>NOT(ISERROR(SEARCH("BA.2",F4)))</formula>
    </cfRule>
    <cfRule type="containsText" dxfId="63" priority="40" operator="containsText" text="BR.2.1">
      <formula>NOT(ISERROR(SEARCH("BR.2.1",F4)))</formula>
    </cfRule>
    <cfRule type="containsText" dxfId="62" priority="39" operator="containsText" text="XBF">
      <formula>NOT(ISERROR(SEARCH("XBF",F4)))</formula>
    </cfRule>
    <cfRule type="containsText" dxfId="61" priority="48" operator="containsText" text="Delta/TMPRSS2">
      <formula>NOT(ISERROR(SEARCH("Delta/TMPRSS2",F4)))</formula>
    </cfRule>
    <cfRule type="containsText" dxfId="60" priority="49" operator="containsText" text="BA.5">
      <formula>NOT(ISERROR(SEARCH("BA.5",F4)))</formula>
    </cfRule>
    <cfRule type="containsText" dxfId="59" priority="51" operator="containsText" text="BA.1">
      <formula>NOT(ISERROR(SEARCH("BA.1",F4)))</formula>
    </cfRule>
    <cfRule type="containsText" dxfId="58" priority="52" operator="containsText" text="Vic01/TMPRSS2">
      <formula>NOT(ISERROR(SEARCH("Vic01/TMPRSS2",F4)))</formula>
    </cfRule>
    <cfRule type="containsText" dxfId="57" priority="53" operator="containsText" text="Vic01">
      <formula>NOT(ISERROR(SEARCH("Vic01",F4)))</formula>
    </cfRule>
    <cfRule type="containsText" dxfId="56" priority="54" operator="containsText" text="Alpha">
      <formula>NOT(ISERROR(SEARCH("Alpha",F4)))</formula>
    </cfRule>
    <cfRule type="containsText" dxfId="55" priority="55" operator="containsText" text="Delta">
      <formula>NOT(ISERROR(SEARCH("Delta",F4)))</formula>
    </cfRule>
    <cfRule type="containsText" dxfId="54" priority="56" operator="containsText" text="Beta">
      <formula>NOT(ISERROR(SEARCH("Beta",F4)))</formula>
    </cfRule>
    <cfRule type="containsText" dxfId="53" priority="57" operator="containsText" text="≥">
      <formula>NOT(ISERROR(SEARCH("≥",F4)))</formula>
    </cfRule>
  </conditionalFormatting>
  <conditionalFormatting sqref="F12 F20 F28">
    <cfRule type="containsText" dxfId="52" priority="11" operator="containsText" text="BA.5">
      <formula>NOT(ISERROR(SEARCH("BA.5",F12)))</formula>
    </cfRule>
    <cfRule type="containsText" dxfId="51" priority="12" operator="containsText" text="BA.2">
      <formula>NOT(ISERROR(SEARCH("BA.2",F12)))</formula>
    </cfRule>
    <cfRule type="containsText" dxfId="50" priority="13" operator="containsText" text="BA.1">
      <formula>NOT(ISERROR(SEARCH("BA.1",F12)))</formula>
    </cfRule>
    <cfRule type="containsText" dxfId="49" priority="14" operator="containsText" text="Vic01/TMPRSS2">
      <formula>NOT(ISERROR(SEARCH("Vic01/TMPRSS2",F12)))</formula>
    </cfRule>
    <cfRule type="containsText" dxfId="48" priority="15" operator="containsText" text="Vic01">
      <formula>NOT(ISERROR(SEARCH("Vic01",F12)))</formula>
    </cfRule>
    <cfRule type="containsText" dxfId="47" priority="16" operator="containsText" text="Alpha">
      <formula>NOT(ISERROR(SEARCH("Alpha",F12)))</formula>
    </cfRule>
    <cfRule type="containsText" dxfId="46" priority="17" operator="containsText" text="Delta">
      <formula>NOT(ISERROR(SEARCH("Delta",F12)))</formula>
    </cfRule>
    <cfRule type="containsText" dxfId="45" priority="18" operator="containsText" text="Beta">
      <formula>NOT(ISERROR(SEARCH("Beta",F12)))</formula>
    </cfRule>
    <cfRule type="containsText" dxfId="44" priority="19" operator="containsText" text="≥">
      <formula>NOT(ISERROR(SEARCH("≥",F12)))</formula>
    </cfRule>
    <cfRule type="containsText" dxfId="43" priority="8" operator="containsText" text="Beta/TMPRSS2">
      <formula>NOT(ISERROR(SEARCH("Beta/TMPRSS2",F12)))</formula>
    </cfRule>
    <cfRule type="containsText" dxfId="42" priority="1" operator="containsText" text="XBF">
      <formula>NOT(ISERROR(SEARCH("XBF",F12)))</formula>
    </cfRule>
    <cfRule type="containsText" dxfId="41" priority="2" operator="containsText" text="BR.2.1">
      <formula>NOT(ISERROR(SEARCH("BR.2.1",F12)))</formula>
    </cfRule>
    <cfRule type="containsText" dxfId="40" priority="3" operator="containsText" text="XBB.1.5">
      <formula>NOT(ISERROR(SEARCH("XBB.1.5",F12)))</formula>
    </cfRule>
    <cfRule type="containsText" dxfId="39" priority="4" operator="containsText" text="XBB.1">
      <formula>NOT(ISERROR(SEARCH("XBB.1",F12)))</formula>
    </cfRule>
    <cfRule type="containsText" dxfId="38" priority="5" operator="containsText" text="CH.1.1">
      <formula>NOT(ISERROR(SEARCH("CH.1.1",F12)))</formula>
    </cfRule>
    <cfRule type="containsText" dxfId="37" priority="6" operator="containsText" text="BQ.1.1">
      <formula>NOT(ISERROR(SEARCH("BQ.1.1",F12)))</formula>
    </cfRule>
    <cfRule type="containsText" dxfId="36" priority="7" operator="containsText" text="Gamma">
      <formula>NOT(ISERROR(SEARCH("Gamma",F12)))</formula>
    </cfRule>
    <cfRule type="containsText" dxfId="35" priority="9" operator="containsText" text="Alpha/TMPRSS2">
      <formula>NOT(ISERROR(SEARCH("Alpha/TMPRSS2",F12)))</formula>
    </cfRule>
    <cfRule type="containsText" dxfId="34" priority="10" operator="containsText" text="Delta/TMPRSS2">
      <formula>NOT(ISERROR(SEARCH("Delta/TMPRSS2",F12)))</formula>
    </cfRule>
  </conditionalFormatting>
  <conditionalFormatting sqref="F36 F44 F52 F60 F68 F76 F84 F92 F100 F108 F116 F124 F132 F140 F148 F156 F164 F172 F180 F188 F196 F204 F212 F220">
    <cfRule type="containsText" dxfId="33" priority="28" operator="containsText" text="Alpha/TMPRSS2">
      <formula>NOT(ISERROR(SEARCH("Alpha/TMPRSS2",F36)))</formula>
    </cfRule>
    <cfRule type="containsText" dxfId="32" priority="27" operator="containsText" text="Beta/TMPRSS2">
      <formula>NOT(ISERROR(SEARCH("Beta/TMPRSS2",F36)))</formula>
    </cfRule>
    <cfRule type="containsText" dxfId="31" priority="26" operator="containsText" text="Gamma">
      <formula>NOT(ISERROR(SEARCH("Gamma",F36)))</formula>
    </cfRule>
    <cfRule type="containsText" dxfId="30" priority="25" operator="containsText" text="BQ.1.1">
      <formula>NOT(ISERROR(SEARCH("BQ.1.1",F36)))</formula>
    </cfRule>
    <cfRule type="containsText" dxfId="29" priority="24" operator="containsText" text="CH.1.1">
      <formula>NOT(ISERROR(SEARCH("CH.1.1",F36)))</formula>
    </cfRule>
    <cfRule type="containsText" dxfId="28" priority="23" operator="containsText" text="XBB.1">
      <formula>NOT(ISERROR(SEARCH("XBB.1",F36)))</formula>
    </cfRule>
    <cfRule type="containsText" dxfId="27" priority="22" operator="containsText" text="XBB.1.5">
      <formula>NOT(ISERROR(SEARCH("XBB.1.5",F36)))</formula>
    </cfRule>
    <cfRule type="containsText" dxfId="26" priority="21" operator="containsText" text="BR.2.1">
      <formula>NOT(ISERROR(SEARCH("BR.2.1",F36)))</formula>
    </cfRule>
    <cfRule type="containsText" dxfId="25" priority="20" operator="containsText" text="XBF">
      <formula>NOT(ISERROR(SEARCH("XBF",F36)))</formula>
    </cfRule>
    <cfRule type="containsText" dxfId="24" priority="30" operator="containsText" text="BA.5">
      <formula>NOT(ISERROR(SEARCH("BA.5",F36)))</formula>
    </cfRule>
    <cfRule type="containsText" dxfId="23" priority="31" operator="containsText" text="BA.2">
      <formula>NOT(ISERROR(SEARCH("BA.2",F36)))</formula>
    </cfRule>
    <cfRule type="containsText" dxfId="22" priority="29" operator="containsText" text="Delta/TMPRSS2">
      <formula>NOT(ISERROR(SEARCH("Delta/TMPRSS2",F36)))</formula>
    </cfRule>
    <cfRule type="containsText" dxfId="21" priority="32" operator="containsText" text="BA.1">
      <formula>NOT(ISERROR(SEARCH("BA.1",F36)))</formula>
    </cfRule>
    <cfRule type="containsText" dxfId="20" priority="33" operator="containsText" text="Vic01/TMPRSS2">
      <formula>NOT(ISERROR(SEARCH("Vic01/TMPRSS2",F36)))</formula>
    </cfRule>
    <cfRule type="containsText" dxfId="19" priority="34" operator="containsText" text="Vic01">
      <formula>NOT(ISERROR(SEARCH("Vic01",F36)))</formula>
    </cfRule>
    <cfRule type="containsText" dxfId="18" priority="35" operator="containsText" text="Alpha">
      <formula>NOT(ISERROR(SEARCH("Alpha",F36)))</formula>
    </cfRule>
    <cfRule type="containsText" dxfId="17" priority="36" operator="containsText" text="Delta">
      <formula>NOT(ISERROR(SEARCH("Delta",F36)))</formula>
    </cfRule>
    <cfRule type="containsText" dxfId="16" priority="37" operator="containsText" text="Beta">
      <formula>NOT(ISERROR(SEARCH("Beta",F36)))</formula>
    </cfRule>
    <cfRule type="containsText" dxfId="15" priority="38" operator="containsText" text="≥">
      <formula>NOT(ISERROR(SEARCH("≥",F36)))</formula>
    </cfRule>
  </conditionalFormatting>
  <pageMargins left="0.7" right="0.7" top="0.75" bottom="0.75" header="0.3" footer="0.3"/>
  <pageSetup paperSize="9" scale="3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topLeftCell="A35" zoomScale="80" zoomScaleNormal="80" workbookViewId="0">
      <selection activeCell="J50" sqref="J50"/>
    </sheetView>
  </sheetViews>
  <sheetFormatPr defaultColWidth="10.875" defaultRowHeight="15.75" x14ac:dyDescent="0.25"/>
  <cols>
    <col min="1" max="1" width="40" customWidth="1"/>
    <col min="2" max="4" width="11.875" customWidth="1"/>
    <col min="5" max="5" width="16.125" customWidth="1"/>
    <col min="6" max="7" width="11.875" style="27" customWidth="1"/>
    <col min="8" max="8" width="11.875" customWidth="1"/>
  </cols>
  <sheetData>
    <row r="1" spans="1:8" s="64" customFormat="1" ht="18.95" customHeight="1" x14ac:dyDescent="0.3">
      <c r="A1" s="110" t="s">
        <v>72</v>
      </c>
      <c r="B1" s="121"/>
      <c r="C1" s="122"/>
      <c r="D1" s="123"/>
      <c r="E1" s="121"/>
      <c r="F1" s="122"/>
      <c r="G1" s="122"/>
      <c r="H1" s="123"/>
    </row>
    <row r="2" spans="1:8" ht="16.5" thickBot="1" x14ac:dyDescent="0.3"/>
    <row r="3" spans="1:8" x14ac:dyDescent="0.25">
      <c r="A3" s="97" t="s">
        <v>73</v>
      </c>
      <c r="B3" s="146" t="s">
        <v>74</v>
      </c>
      <c r="C3" s="146"/>
      <c r="D3" s="146"/>
      <c r="E3" s="146"/>
      <c r="F3" s="102"/>
      <c r="G3" s="102"/>
      <c r="H3" s="103"/>
    </row>
    <row r="4" spans="1:8" x14ac:dyDescent="0.25">
      <c r="A4" s="73" t="s">
        <v>75</v>
      </c>
      <c r="B4" s="147" t="s">
        <v>76</v>
      </c>
      <c r="C4" s="147"/>
      <c r="D4" s="147"/>
      <c r="E4" s="147"/>
      <c r="H4" s="104"/>
    </row>
    <row r="5" spans="1:8" x14ac:dyDescent="0.25">
      <c r="A5" s="73" t="s">
        <v>77</v>
      </c>
      <c r="B5" s="148" t="s">
        <v>78</v>
      </c>
      <c r="C5" s="148"/>
      <c r="D5" s="148"/>
      <c r="E5" s="148"/>
      <c r="H5" s="104"/>
    </row>
    <row r="6" spans="1:8" x14ac:dyDescent="0.25">
      <c r="A6" s="73"/>
      <c r="B6" s="74"/>
      <c r="C6" s="74"/>
      <c r="F6"/>
      <c r="G6"/>
      <c r="H6" s="104"/>
    </row>
    <row r="7" spans="1:8" ht="31.5" x14ac:dyDescent="0.25">
      <c r="A7" s="75"/>
      <c r="B7" s="105" t="s">
        <v>79</v>
      </c>
      <c r="C7" s="106" t="s">
        <v>80</v>
      </c>
      <c r="D7" s="76"/>
      <c r="E7" s="76"/>
      <c r="F7" s="76"/>
      <c r="G7" s="76"/>
      <c r="H7" s="77"/>
    </row>
    <row r="8" spans="1:8" x14ac:dyDescent="0.25">
      <c r="A8" s="78"/>
      <c r="B8" s="107">
        <v>4</v>
      </c>
      <c r="C8" s="107"/>
      <c r="D8" s="5"/>
      <c r="E8" s="5"/>
      <c r="F8" s="5"/>
      <c r="G8" s="5"/>
      <c r="H8" s="79"/>
    </row>
    <row r="9" spans="1:8" x14ac:dyDescent="0.25">
      <c r="A9" s="75" t="s">
        <v>81</v>
      </c>
      <c r="B9" s="80" t="s">
        <v>82</v>
      </c>
      <c r="C9" s="76">
        <f>C8*10</f>
        <v>0</v>
      </c>
      <c r="D9" s="81"/>
      <c r="E9" s="81"/>
      <c r="F9" s="76"/>
      <c r="G9" s="76"/>
      <c r="H9" s="77"/>
    </row>
    <row r="10" spans="1:8" x14ac:dyDescent="0.25">
      <c r="A10" s="75" t="s">
        <v>83</v>
      </c>
      <c r="B10" s="4">
        <f>B8*14</f>
        <v>56</v>
      </c>
      <c r="C10" s="76">
        <f>C8*20</f>
        <v>0</v>
      </c>
      <c r="D10" s="76" t="s">
        <v>84</v>
      </c>
      <c r="E10" s="76"/>
      <c r="F10" s="82" t="s">
        <v>85</v>
      </c>
      <c r="G10" s="82" t="s">
        <v>77</v>
      </c>
      <c r="H10" s="83" t="s">
        <v>86</v>
      </c>
    </row>
    <row r="11" spans="1:8" x14ac:dyDescent="0.25">
      <c r="A11" s="75" t="s">
        <v>87</v>
      </c>
      <c r="B11" s="108" t="s">
        <v>82</v>
      </c>
      <c r="C11" s="80">
        <f>C8*15</f>
        <v>0</v>
      </c>
      <c r="D11" s="80" t="s">
        <v>84</v>
      </c>
      <c r="E11" s="98"/>
      <c r="F11" s="4" t="s">
        <v>88</v>
      </c>
      <c r="G11" s="4">
        <f>G12-0.1</f>
        <v>6.2000000000000011</v>
      </c>
      <c r="H11" s="84">
        <f>SUM((B12)*(10^3.5))/(10^G11)</f>
        <v>9.9763115748443723E-2</v>
      </c>
    </row>
    <row r="12" spans="1:8" x14ac:dyDescent="0.25">
      <c r="A12" s="75" t="s">
        <v>89</v>
      </c>
      <c r="B12" s="76">
        <f>B8*12.5</f>
        <v>50</v>
      </c>
      <c r="C12" s="80" t="s">
        <v>82</v>
      </c>
      <c r="D12" s="76" t="s">
        <v>84</v>
      </c>
      <c r="E12" s="99"/>
      <c r="F12" s="4" t="s">
        <v>90</v>
      </c>
      <c r="G12" s="4">
        <f>G13-0.1</f>
        <v>6.3000000000000007</v>
      </c>
      <c r="H12" s="84">
        <f>SUM((B12)*(10^3.4))/(10^G12)</f>
        <v>6.2946270589708156E-2</v>
      </c>
    </row>
    <row r="13" spans="1:8" x14ac:dyDescent="0.25">
      <c r="A13" s="85" t="s">
        <v>91</v>
      </c>
      <c r="B13" s="86">
        <f>SUM((B12)*(10^3.3))/(10^7.4)</f>
        <v>3.9716411736213939E-3</v>
      </c>
      <c r="C13" s="87" t="s">
        <v>82</v>
      </c>
      <c r="D13" s="88" t="s">
        <v>84</v>
      </c>
      <c r="E13" s="99"/>
      <c r="F13" s="76" t="s">
        <v>92</v>
      </c>
      <c r="G13" s="111">
        <v>6.4</v>
      </c>
      <c r="H13" s="84">
        <f>SUM((B12)*(10^3.3))/(10^G13)</f>
        <v>3.9716411736213979E-2</v>
      </c>
    </row>
    <row r="14" spans="1:8" x14ac:dyDescent="0.25">
      <c r="A14" s="89" t="s">
        <v>93</v>
      </c>
      <c r="B14" s="90">
        <f>B12-B13</f>
        <v>49.996028358826379</v>
      </c>
      <c r="C14" s="87" t="s">
        <v>82</v>
      </c>
      <c r="D14" s="88" t="s">
        <v>84</v>
      </c>
      <c r="E14" s="99"/>
      <c r="F14" s="91" t="s">
        <v>94</v>
      </c>
      <c r="G14" s="76">
        <f>G13+0.1</f>
        <v>6.5</v>
      </c>
      <c r="H14" s="84">
        <f>SUM((B12)*(10^3.2))/(10^G14)</f>
        <v>2.50593616813636E-2</v>
      </c>
    </row>
    <row r="15" spans="1:8" ht="16.5" thickBot="1" x14ac:dyDescent="0.3">
      <c r="A15" s="93"/>
      <c r="B15" s="94"/>
      <c r="C15" s="95"/>
      <c r="D15" s="96"/>
      <c r="E15" s="100"/>
      <c r="F15" s="109" t="s">
        <v>95</v>
      </c>
      <c r="G15" s="101">
        <f>G14+0.1</f>
        <v>6.6</v>
      </c>
      <c r="H15" s="92">
        <f>SUM((B12)*(10^3.1))/(10^G15)</f>
        <v>1.5811388300841892E-2</v>
      </c>
    </row>
    <row r="16" spans="1:8" x14ac:dyDescent="0.25">
      <c r="A16" s="98"/>
      <c r="B16" s="99"/>
      <c r="C16" s="98"/>
      <c r="D16" s="99"/>
      <c r="E16" s="6"/>
    </row>
    <row r="18" spans="1:8" x14ac:dyDescent="0.25">
      <c r="A18" s="1" t="s">
        <v>96</v>
      </c>
      <c r="B18" s="112"/>
      <c r="C18" s="112"/>
      <c r="D18" s="112"/>
      <c r="E18" s="112"/>
      <c r="F18" s="112"/>
      <c r="G18" s="112"/>
      <c r="H18" s="112"/>
    </row>
    <row r="19" spans="1:8" x14ac:dyDescent="0.25">
      <c r="A19" t="s">
        <v>97</v>
      </c>
      <c r="F19"/>
      <c r="G19"/>
    </row>
    <row r="21" spans="1:8" x14ac:dyDescent="0.25">
      <c r="A21" s="1" t="s">
        <v>98</v>
      </c>
      <c r="B21" s="112"/>
      <c r="C21" s="112"/>
      <c r="D21" s="112"/>
      <c r="E21" s="112"/>
      <c r="F21" s="113"/>
      <c r="G21" s="113"/>
      <c r="H21" s="112"/>
    </row>
    <row r="22" spans="1:8" x14ac:dyDescent="0.25">
      <c r="A22" t="s">
        <v>99</v>
      </c>
    </row>
    <row r="23" spans="1:8" x14ac:dyDescent="0.25">
      <c r="A23" t="s">
        <v>100</v>
      </c>
    </row>
    <row r="24" spans="1:8" x14ac:dyDescent="0.25">
      <c r="A24" t="s">
        <v>101</v>
      </c>
    </row>
    <row r="25" spans="1:8" x14ac:dyDescent="0.25">
      <c r="A25" t="s">
        <v>102</v>
      </c>
    </row>
    <row r="27" spans="1:8" x14ac:dyDescent="0.25">
      <c r="A27" s="1" t="s">
        <v>103</v>
      </c>
      <c r="B27" s="112"/>
      <c r="C27" s="112"/>
      <c r="D27" s="112"/>
      <c r="E27" s="112"/>
      <c r="F27" s="113"/>
      <c r="G27" s="113"/>
      <c r="H27" s="112"/>
    </row>
    <row r="28" spans="1:8" x14ac:dyDescent="0.25">
      <c r="A28" t="s">
        <v>104</v>
      </c>
    </row>
    <row r="29" spans="1:8" x14ac:dyDescent="0.25">
      <c r="A29" t="s">
        <v>105</v>
      </c>
    </row>
    <row r="31" spans="1:8" x14ac:dyDescent="0.25">
      <c r="A31" s="1" t="s">
        <v>106</v>
      </c>
      <c r="B31" s="112"/>
      <c r="C31" s="112"/>
      <c r="D31" s="112"/>
      <c r="E31" s="112"/>
      <c r="F31" s="113"/>
      <c r="G31" s="113"/>
      <c r="H31" s="112"/>
    </row>
    <row r="32" spans="1:8" x14ac:dyDescent="0.25">
      <c r="A32" t="s">
        <v>107</v>
      </c>
    </row>
    <row r="33" spans="1:8" x14ac:dyDescent="0.25">
      <c r="A33" t="s">
        <v>108</v>
      </c>
    </row>
    <row r="34" spans="1:8" x14ac:dyDescent="0.25">
      <c r="A34" t="s">
        <v>109</v>
      </c>
    </row>
    <row r="35" spans="1:8" x14ac:dyDescent="0.25">
      <c r="A35" t="s">
        <v>110</v>
      </c>
    </row>
    <row r="36" spans="1:8" x14ac:dyDescent="0.25">
      <c r="A36" t="s">
        <v>111</v>
      </c>
    </row>
    <row r="38" spans="1:8" x14ac:dyDescent="0.25">
      <c r="A38" s="1" t="s">
        <v>112</v>
      </c>
      <c r="B38" s="112"/>
      <c r="C38" s="112"/>
      <c r="D38" s="112"/>
      <c r="E38" s="112"/>
      <c r="F38" s="113"/>
      <c r="G38" s="113"/>
      <c r="H38" s="112"/>
    </row>
    <row r="39" spans="1:8" x14ac:dyDescent="0.25">
      <c r="A39" t="s">
        <v>113</v>
      </c>
    </row>
    <row r="40" spans="1:8" x14ac:dyDescent="0.25">
      <c r="A40" t="s">
        <v>114</v>
      </c>
    </row>
    <row r="42" spans="1:8" x14ac:dyDescent="0.25">
      <c r="A42" t="s">
        <v>115</v>
      </c>
    </row>
    <row r="43" spans="1:8" x14ac:dyDescent="0.25">
      <c r="A43" t="s">
        <v>116</v>
      </c>
    </row>
    <row r="44" spans="1:8" x14ac:dyDescent="0.25">
      <c r="A44" t="s">
        <v>117</v>
      </c>
    </row>
    <row r="46" spans="1:8" x14ac:dyDescent="0.25">
      <c r="A46" s="1" t="s">
        <v>118</v>
      </c>
      <c r="B46" s="112"/>
      <c r="C46" s="112"/>
      <c r="D46" s="112"/>
      <c r="E46" s="112"/>
      <c r="F46" s="113"/>
      <c r="G46" s="113"/>
      <c r="H46" s="112"/>
    </row>
    <row r="47" spans="1:8" x14ac:dyDescent="0.25">
      <c r="A47" t="s">
        <v>119</v>
      </c>
    </row>
    <row r="48" spans="1:8" x14ac:dyDescent="0.25">
      <c r="A48" s="136" t="s">
        <v>120</v>
      </c>
      <c r="E48" s="149" t="s">
        <v>121</v>
      </c>
      <c r="F48" s="150"/>
      <c r="G48" s="150"/>
      <c r="H48" s="150"/>
    </row>
    <row r="49" spans="1:8" x14ac:dyDescent="0.25">
      <c r="A49" s="136" t="s">
        <v>122</v>
      </c>
      <c r="E49" s="150"/>
      <c r="F49" s="150"/>
      <c r="G49" s="150"/>
      <c r="H49" s="150"/>
    </row>
    <row r="50" spans="1:8" x14ac:dyDescent="0.25">
      <c r="A50" s="136" t="s">
        <v>123</v>
      </c>
      <c r="E50" s="150"/>
      <c r="F50" s="150"/>
      <c r="G50" s="150"/>
      <c r="H50" s="150"/>
    </row>
    <row r="51" spans="1:8" x14ac:dyDescent="0.25">
      <c r="A51" s="136" t="s">
        <v>124</v>
      </c>
      <c r="E51" s="150"/>
      <c r="F51" s="150"/>
      <c r="G51" s="150"/>
      <c r="H51" s="150"/>
    </row>
    <row r="52" spans="1:8" x14ac:dyDescent="0.25">
      <c r="A52" s="136" t="s">
        <v>125</v>
      </c>
      <c r="E52" s="150"/>
      <c r="F52" s="150"/>
      <c r="G52" s="150"/>
      <c r="H52" s="150"/>
    </row>
    <row r="53" spans="1:8" x14ac:dyDescent="0.25">
      <c r="A53" s="136" t="s">
        <v>126</v>
      </c>
      <c r="E53" s="150"/>
      <c r="F53" s="150"/>
      <c r="G53" s="150"/>
      <c r="H53" s="150"/>
    </row>
    <row r="54" spans="1:8" x14ac:dyDescent="0.25">
      <c r="A54" t="s">
        <v>127</v>
      </c>
    </row>
    <row r="55" spans="1:8" x14ac:dyDescent="0.25">
      <c r="A55" t="s">
        <v>128</v>
      </c>
    </row>
    <row r="56" spans="1:8" x14ac:dyDescent="0.25">
      <c r="A56" t="s">
        <v>129</v>
      </c>
    </row>
    <row r="58" spans="1:8" x14ac:dyDescent="0.25">
      <c r="A58" s="1" t="s">
        <v>130</v>
      </c>
      <c r="B58" s="112"/>
      <c r="C58" s="112"/>
      <c r="D58" s="112"/>
      <c r="E58" s="112"/>
      <c r="F58" s="113"/>
      <c r="G58" s="113"/>
      <c r="H58" s="112"/>
    </row>
    <row r="59" spans="1:8" x14ac:dyDescent="0.25">
      <c r="A59" t="s">
        <v>131</v>
      </c>
    </row>
    <row r="60" spans="1:8" x14ac:dyDescent="0.25">
      <c r="A60" t="s">
        <v>132</v>
      </c>
    </row>
    <row r="61" spans="1:8" x14ac:dyDescent="0.25">
      <c r="A61" t="s">
        <v>133</v>
      </c>
    </row>
    <row r="64" spans="1:8" x14ac:dyDescent="0.25">
      <c r="A64" s="145" t="s">
        <v>134</v>
      </c>
      <c r="B64" s="145"/>
      <c r="C64" s="145"/>
      <c r="D64" s="145"/>
      <c r="E64" s="145"/>
      <c r="F64" s="145"/>
      <c r="G64" s="145"/>
      <c r="H64" s="145"/>
    </row>
    <row r="65" spans="1:8" x14ac:dyDescent="0.25">
      <c r="A65" s="145"/>
      <c r="B65" s="145"/>
      <c r="C65" s="145"/>
      <c r="D65" s="145"/>
      <c r="E65" s="145"/>
      <c r="F65" s="145"/>
      <c r="G65" s="145"/>
      <c r="H65" s="145"/>
    </row>
    <row r="66" spans="1:8" x14ac:dyDescent="0.25">
      <c r="A66" s="145"/>
      <c r="B66" s="145"/>
      <c r="C66" s="145"/>
      <c r="D66" s="145"/>
      <c r="E66" s="145"/>
      <c r="F66" s="145"/>
      <c r="G66" s="145"/>
      <c r="H66" s="145"/>
    </row>
    <row r="67" spans="1:8" x14ac:dyDescent="0.25">
      <c r="A67" s="145"/>
      <c r="B67" s="145"/>
      <c r="C67" s="145"/>
      <c r="D67" s="145"/>
      <c r="E67" s="145"/>
      <c r="F67" s="145"/>
      <c r="G67" s="145"/>
      <c r="H67" s="145"/>
    </row>
    <row r="68" spans="1:8" x14ac:dyDescent="0.25">
      <c r="A68" s="145"/>
      <c r="B68" s="145"/>
      <c r="C68" s="145"/>
      <c r="D68" s="145"/>
      <c r="E68" s="145"/>
      <c r="F68" s="145"/>
      <c r="G68" s="145"/>
      <c r="H68" s="145"/>
    </row>
    <row r="69" spans="1:8" x14ac:dyDescent="0.25">
      <c r="A69" s="145"/>
      <c r="B69" s="145"/>
      <c r="C69" s="145"/>
      <c r="D69" s="145"/>
      <c r="E69" s="145"/>
      <c r="F69" s="145"/>
      <c r="G69" s="145"/>
      <c r="H69" s="145"/>
    </row>
    <row r="70" spans="1:8" x14ac:dyDescent="0.25">
      <c r="A70" s="145"/>
      <c r="B70" s="145"/>
      <c r="C70" s="145"/>
      <c r="D70" s="145"/>
      <c r="E70" s="145"/>
      <c r="F70" s="145"/>
      <c r="G70" s="145"/>
      <c r="H70" s="145"/>
    </row>
    <row r="71" spans="1:8" x14ac:dyDescent="0.25">
      <c r="A71" s="145"/>
      <c r="B71" s="145"/>
      <c r="C71" s="145"/>
      <c r="D71" s="145"/>
      <c r="E71" s="145"/>
      <c r="F71" s="145"/>
      <c r="G71" s="145"/>
      <c r="H71" s="145"/>
    </row>
    <row r="72" spans="1:8" x14ac:dyDescent="0.25">
      <c r="A72" s="145"/>
      <c r="B72" s="145"/>
      <c r="C72" s="145"/>
      <c r="D72" s="145"/>
      <c r="E72" s="145"/>
      <c r="F72" s="145"/>
      <c r="G72" s="145"/>
      <c r="H72" s="145"/>
    </row>
    <row r="73" spans="1:8" x14ac:dyDescent="0.25">
      <c r="A73" s="145"/>
      <c r="B73" s="145"/>
      <c r="C73" s="145"/>
      <c r="D73" s="145"/>
      <c r="E73" s="145"/>
      <c r="F73" s="145"/>
      <c r="G73" s="145"/>
      <c r="H73" s="145"/>
    </row>
    <row r="74" spans="1:8" x14ac:dyDescent="0.25">
      <c r="A74" s="145"/>
      <c r="B74" s="145"/>
      <c r="C74" s="145"/>
      <c r="D74" s="145"/>
      <c r="E74" s="145"/>
      <c r="F74" s="145"/>
      <c r="G74" s="145"/>
      <c r="H74" s="145"/>
    </row>
    <row r="75" spans="1:8" x14ac:dyDescent="0.25">
      <c r="A75" s="145"/>
      <c r="B75" s="145"/>
      <c r="C75" s="145"/>
      <c r="D75" s="145"/>
      <c r="E75" s="145"/>
      <c r="F75" s="145"/>
      <c r="G75" s="145"/>
      <c r="H75" s="145"/>
    </row>
    <row r="76" spans="1:8" x14ac:dyDescent="0.25">
      <c r="A76" s="145"/>
      <c r="B76" s="145"/>
      <c r="C76" s="145"/>
      <c r="D76" s="145"/>
      <c r="E76" s="145"/>
      <c r="F76" s="145"/>
      <c r="G76" s="145"/>
      <c r="H76" s="145"/>
    </row>
  </sheetData>
  <mergeCells count="5">
    <mergeCell ref="A64:H76"/>
    <mergeCell ref="B3:E3"/>
    <mergeCell ref="B4:E4"/>
    <mergeCell ref="B5:E5"/>
    <mergeCell ref="E48:H53"/>
  </mergeCells>
  <conditionalFormatting sqref="F11:F15">
    <cfRule type="expression" dxfId="14" priority="5">
      <formula>H11=#REF!</formula>
    </cfRule>
  </conditionalFormatting>
  <conditionalFormatting sqref="G11:G14">
    <cfRule type="expression" dxfId="13" priority="6">
      <formula>#REF!=#REF!</formula>
    </cfRule>
  </conditionalFormatting>
  <conditionalFormatting sqref="H11:H15">
    <cfRule type="expression" dxfId="12" priority="4">
      <formula>#REF!=#REF!</formula>
    </cfRule>
  </conditionalFormatting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5"/>
  <sheetViews>
    <sheetView zoomScaleNormal="100" workbookViewId="0">
      <pane xSplit="1" ySplit="7" topLeftCell="B32" activePane="bottomRight" state="frozen"/>
      <selection pane="topRight" activeCell="B1" sqref="B1"/>
      <selection pane="bottomLeft" activeCell="A5" sqref="A5"/>
      <selection pane="bottomRight" activeCell="K43" sqref="K43"/>
    </sheetView>
  </sheetViews>
  <sheetFormatPr defaultColWidth="10.875" defaultRowHeight="12.75" x14ac:dyDescent="0.2"/>
  <cols>
    <col min="1" max="1" width="5.5" style="8" customWidth="1"/>
    <col min="2" max="2" width="8" style="8" customWidth="1"/>
    <col min="3" max="3" width="25.5" style="8" customWidth="1"/>
    <col min="4" max="5" width="6.5" style="22" customWidth="1"/>
    <col min="6" max="16" width="6.5" style="11" customWidth="1"/>
    <col min="17" max="17" width="6.5" style="22" customWidth="1"/>
    <col min="18" max="19" width="6.375" style="22" hidden="1" customWidth="1"/>
    <col min="20" max="20" width="6.5" style="22" hidden="1" customWidth="1"/>
    <col min="21" max="21" width="13.5" style="22" customWidth="1"/>
    <col min="22" max="22" width="10.875" style="22"/>
    <col min="23" max="23" width="6" style="22" bestFit="1" customWidth="1"/>
    <col min="24" max="24" width="10.875" style="22"/>
    <col min="25" max="25" width="6.5" style="22" bestFit="1" customWidth="1"/>
    <col min="26" max="26" width="7.875" style="22" customWidth="1"/>
    <col min="27" max="27" width="10.875" style="22"/>
    <col min="28" max="28" width="8.5" style="22" customWidth="1"/>
    <col min="29" max="29" width="10.5" style="22" bestFit="1" customWidth="1"/>
    <col min="30" max="30" width="8.375" style="22" customWidth="1"/>
    <col min="31" max="31" width="10.875" style="22"/>
    <col min="32" max="32" width="10.875" style="22" hidden="1" customWidth="1"/>
    <col min="33" max="33" width="10.875" style="22"/>
    <col min="34" max="16384" width="10.875" style="8"/>
  </cols>
  <sheetData>
    <row r="1" spans="1:37" s="64" customFormat="1" ht="21" x14ac:dyDescent="0.35">
      <c r="A1" s="62" t="s">
        <v>135</v>
      </c>
      <c r="B1" s="63"/>
      <c r="C1" s="65"/>
      <c r="D1" s="63"/>
      <c r="E1" s="62"/>
      <c r="F1" s="66" t="s">
        <v>1</v>
      </c>
      <c r="G1" s="156" t="str">
        <f>'MN layout (2x)'!I1</f>
        <v>24.05.24</v>
      </c>
      <c r="H1" s="156"/>
      <c r="I1" s="62"/>
      <c r="J1" s="62"/>
      <c r="K1" s="66" t="s">
        <v>3</v>
      </c>
      <c r="L1" s="156" t="str">
        <f>'MN layout (2x)'!N1</f>
        <v>29.05.24</v>
      </c>
      <c r="M1" s="156"/>
      <c r="N1" s="65"/>
      <c r="O1" s="62"/>
      <c r="P1" s="137" t="str">
        <f>'MN layout (2x)'!R1</f>
        <v>FM</v>
      </c>
      <c r="Q1" s="137"/>
      <c r="R1" s="124"/>
      <c r="S1" s="124"/>
      <c r="T1" s="124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customFormat="1" ht="15.75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</row>
    <row r="3" spans="1:37" ht="15" x14ac:dyDescent="0.2">
      <c r="A3" s="36" t="s">
        <v>136</v>
      </c>
      <c r="V3" s="8"/>
      <c r="W3" s="163" t="s">
        <v>137</v>
      </c>
      <c r="X3" s="163"/>
      <c r="Y3" s="163"/>
      <c r="Z3" s="163"/>
      <c r="AA3" s="163"/>
      <c r="AB3" s="163"/>
      <c r="AC3" s="163"/>
      <c r="AD3" s="163"/>
      <c r="AE3" s="163"/>
      <c r="AF3" s="125"/>
      <c r="AG3" s="126"/>
    </row>
    <row r="4" spans="1:37" x14ac:dyDescent="0.2">
      <c r="U4" s="56" t="s">
        <v>138</v>
      </c>
      <c r="V4" s="56" t="s">
        <v>138</v>
      </c>
      <c r="W4" s="13"/>
      <c r="X4" s="56" t="s">
        <v>138</v>
      </c>
      <c r="Y4" s="10"/>
      <c r="Z4" s="10"/>
      <c r="AA4" s="10"/>
      <c r="AB4" s="10"/>
      <c r="AC4" s="10" t="s">
        <v>139</v>
      </c>
      <c r="AD4" s="10"/>
      <c r="AE4" s="10"/>
      <c r="AG4" s="126"/>
    </row>
    <row r="5" spans="1:37" s="23" customFormat="1" ht="12.75" customHeight="1" x14ac:dyDescent="0.25">
      <c r="A5" s="151" t="s">
        <v>140</v>
      </c>
      <c r="B5" s="151" t="s">
        <v>141</v>
      </c>
      <c r="C5" s="151" t="s">
        <v>142</v>
      </c>
      <c r="D5" s="153" t="s">
        <v>143</v>
      </c>
      <c r="E5" s="26">
        <v>20</v>
      </c>
      <c r="F5" s="26">
        <v>40</v>
      </c>
      <c r="G5" s="26">
        <v>80</v>
      </c>
      <c r="H5" s="26">
        <v>160</v>
      </c>
      <c r="I5" s="26">
        <v>320</v>
      </c>
      <c r="J5" s="26">
        <v>640</v>
      </c>
      <c r="K5" s="26">
        <v>1280</v>
      </c>
      <c r="L5" s="26">
        <v>2560</v>
      </c>
      <c r="M5" s="26">
        <v>5120</v>
      </c>
      <c r="N5" s="26">
        <v>10240</v>
      </c>
      <c r="O5" s="161" t="s">
        <v>144</v>
      </c>
      <c r="P5" s="161" t="s">
        <v>145</v>
      </c>
      <c r="Q5" s="162" t="s">
        <v>146</v>
      </c>
      <c r="R5" s="164" t="s">
        <v>147</v>
      </c>
      <c r="S5" s="164" t="s">
        <v>148</v>
      </c>
      <c r="T5" s="164"/>
      <c r="U5" s="57" t="s">
        <v>149</v>
      </c>
      <c r="V5" s="57" t="s">
        <v>150</v>
      </c>
      <c r="W5" s="24" t="s">
        <v>151</v>
      </c>
      <c r="X5" s="57" t="s">
        <v>152</v>
      </c>
      <c r="Y5" s="25" t="s">
        <v>153</v>
      </c>
      <c r="Z5" s="25" t="s">
        <v>154</v>
      </c>
      <c r="AA5" s="25" t="s">
        <v>155</v>
      </c>
      <c r="AB5" s="25" t="s">
        <v>156</v>
      </c>
      <c r="AC5" s="25" t="s">
        <v>157</v>
      </c>
      <c r="AD5" s="25" t="s">
        <v>158</v>
      </c>
      <c r="AE5" s="25" t="s">
        <v>159</v>
      </c>
      <c r="AF5" s="157" t="s">
        <v>160</v>
      </c>
      <c r="AG5" s="159" t="s">
        <v>161</v>
      </c>
    </row>
    <row r="6" spans="1:37" s="23" customFormat="1" x14ac:dyDescent="0.25">
      <c r="A6" s="151"/>
      <c r="B6" s="151"/>
      <c r="C6" s="151"/>
      <c r="D6" s="153"/>
      <c r="E6" s="26"/>
      <c r="F6" s="26"/>
      <c r="G6" s="26"/>
      <c r="H6" s="26"/>
      <c r="I6" s="26"/>
      <c r="J6" s="26"/>
      <c r="K6" s="26"/>
      <c r="L6" s="26"/>
      <c r="M6" s="26"/>
      <c r="N6" s="26"/>
      <c r="O6" s="161"/>
      <c r="P6" s="161"/>
      <c r="Q6" s="162"/>
      <c r="R6" s="164"/>
      <c r="S6" s="164"/>
      <c r="T6" s="164"/>
      <c r="U6" s="57"/>
      <c r="V6" s="57"/>
      <c r="W6" s="24"/>
      <c r="X6" s="57"/>
      <c r="Y6" s="25"/>
      <c r="Z6" s="25"/>
      <c r="AA6" s="25"/>
      <c r="AB6" s="25"/>
      <c r="AC6" s="25"/>
      <c r="AD6" s="25"/>
      <c r="AE6" s="25"/>
      <c r="AF6" s="157"/>
      <c r="AG6" s="159"/>
    </row>
    <row r="7" spans="1:37" s="23" customFormat="1" ht="25.5" x14ac:dyDescent="0.25">
      <c r="A7" s="152"/>
      <c r="B7" s="152"/>
      <c r="C7" s="152"/>
      <c r="D7" s="154"/>
      <c r="E7" s="58">
        <v>1</v>
      </c>
      <c r="F7" s="58">
        <v>2</v>
      </c>
      <c r="G7" s="58">
        <v>3</v>
      </c>
      <c r="H7" s="58">
        <v>4</v>
      </c>
      <c r="I7" s="58">
        <v>5</v>
      </c>
      <c r="J7" s="58">
        <v>6</v>
      </c>
      <c r="K7" s="58">
        <v>7</v>
      </c>
      <c r="L7" s="58">
        <v>8</v>
      </c>
      <c r="M7" s="58">
        <v>9</v>
      </c>
      <c r="N7" s="58">
        <v>10</v>
      </c>
      <c r="O7" s="58">
        <v>11</v>
      </c>
      <c r="P7" s="58">
        <v>12</v>
      </c>
      <c r="Q7" s="162"/>
      <c r="R7" s="165"/>
      <c r="S7" s="165"/>
      <c r="T7" s="165"/>
      <c r="U7" s="59" t="s">
        <v>162</v>
      </c>
      <c r="V7" s="59" t="s">
        <v>163</v>
      </c>
      <c r="W7" s="60" t="s">
        <v>164</v>
      </c>
      <c r="X7" s="59" t="s">
        <v>165</v>
      </c>
      <c r="Y7" s="61" t="s">
        <v>166</v>
      </c>
      <c r="Z7" s="61" t="s">
        <v>167</v>
      </c>
      <c r="AA7" s="61" t="s">
        <v>168</v>
      </c>
      <c r="AB7" s="61" t="s">
        <v>169</v>
      </c>
      <c r="AC7" s="61" t="s">
        <v>170</v>
      </c>
      <c r="AD7" s="61"/>
      <c r="AE7" s="61"/>
      <c r="AF7" s="158"/>
      <c r="AG7" s="160"/>
    </row>
    <row r="8" spans="1:37" x14ac:dyDescent="0.2">
      <c r="A8" s="155" t="s">
        <v>171</v>
      </c>
      <c r="B8" s="16">
        <f>'MN layout (2x)'!C4</f>
        <v>1</v>
      </c>
      <c r="C8" s="17" t="str">
        <f>'MN layout (2x)'!A4</f>
        <v>High 3</v>
      </c>
      <c r="D8" s="28" t="str">
        <f>'MN layout (2x)'!B4</f>
        <v>1:20</v>
      </c>
      <c r="E8" s="18" t="s">
        <v>172</v>
      </c>
      <c r="F8" s="18" t="s">
        <v>172</v>
      </c>
      <c r="G8" s="18" t="s">
        <v>172</v>
      </c>
      <c r="H8" s="18" t="s">
        <v>172</v>
      </c>
      <c r="I8" s="18" t="s">
        <v>172</v>
      </c>
      <c r="J8" s="18" t="s">
        <v>172</v>
      </c>
      <c r="K8" s="18" t="s">
        <v>173</v>
      </c>
      <c r="L8" s="18" t="s">
        <v>173</v>
      </c>
      <c r="M8" s="18" t="s">
        <v>174</v>
      </c>
      <c r="N8" s="18" t="s">
        <v>174</v>
      </c>
      <c r="O8" s="18" t="s">
        <v>174</v>
      </c>
      <c r="P8" s="18" t="s">
        <v>172</v>
      </c>
      <c r="Q8" s="22" cm="1">
        <f t="array" ref="Q8">SUMPRODUCT(LEN(E8:N8)-LEN(SUBSTITUTE(E8:N8,"-","")))</f>
        <v>26</v>
      </c>
      <c r="R8" s="127">
        <f>Q8/4</f>
        <v>6.5</v>
      </c>
      <c r="S8" s="128" t="str" cm="1">
        <f t="array" ref="S8:T8">_xlfn.TEXTSPLIT(R8,".",)</f>
        <v>6</v>
      </c>
      <c r="T8" s="128" t="str">
        <v>5</v>
      </c>
      <c r="U8" s="12">
        <f>IF(Q8=0,10,(IF(Q8=1,10,(IF(Q8=2,20,(IF(Q8=3,20,(IF(Q8=4,20,(IF(Q8=5,20,(IF(Q8=6,40,(IF(Q8=7,40,(IF(Q8=8,40,(IF(Q8=9,40,(IF(Q8=10,80,(IF(Q8=11,80,(IF(Q8=12,80,(IF(Q8=13,80,(IF(Q8=14,160,(IF(Q8=15,160,(IF(Q8=16,160,(IF(Q8=17,160,(IF(Q8=18,320,(IF(Q8=19,320,(IF(Q8=20,320,(IF(Q8=21,320,(IF(Q8=22,640,(IF(Q8=23,640,(IF(Q8=24,640,(IF(Q8=25,640,(IF(Q8=26,1280,(IF(Q8=27,1280,(IF(Q8=28,1280,(IF(Q8=29,1280,(IF(Q8=30,2560,(IF(Q8=31,2560,(IF(Q8=32,2560,(IF(Q8=33,2560,(IF(Q8=34,5120,(IF(Q8=35,5120,(IF(Q8=36,5120,(IF(Q8=37,5120,(IF(Q8=38,10240,(IF(Q8=39,10240,(IF(Q8=40,10240,"No endpoint")))))))))))))))))))))))))))))))))))))))))))))))))))))))))))))))))))))))))))))))))</f>
        <v>1280</v>
      </c>
      <c r="V8" s="12">
        <f>IF(T8="25",0,(IF(T8="5",50,(IF(T8="75",25,0)))))</f>
        <v>50</v>
      </c>
      <c r="W8" s="22">
        <f>50-V8</f>
        <v>0</v>
      </c>
      <c r="X8" s="12">
        <f>IF(T8="25",75,100)</f>
        <v>100</v>
      </c>
      <c r="Y8" s="22">
        <f>X8-V8</f>
        <v>50</v>
      </c>
      <c r="Z8" s="19">
        <f>W8/Y8</f>
        <v>0</v>
      </c>
      <c r="AA8" s="22">
        <f>LOG10(2)</f>
        <v>0.3010299956639812</v>
      </c>
      <c r="AB8" s="20">
        <f>Z8*AA8</f>
        <v>0</v>
      </c>
      <c r="AC8" s="20">
        <f t="shared" ref="AC8:AC37" si="0">LOG10(U8)</f>
        <v>3.1072099696478683</v>
      </c>
      <c r="AD8" s="20">
        <f>AB8+AC8</f>
        <v>3.1072099696478683</v>
      </c>
      <c r="AE8" s="21">
        <f>10^AD8</f>
        <v>1280.0000000000011</v>
      </c>
      <c r="AF8" s="129">
        <f>ROUND(AE8,1)</f>
        <v>1280</v>
      </c>
      <c r="AG8" s="12">
        <f>IF(AF8&lt;20,"&lt;20",ROUND(AF8,0))</f>
        <v>1280</v>
      </c>
    </row>
    <row r="9" spans="1:37" s="35" customFormat="1" x14ac:dyDescent="0.2">
      <c r="A9" s="155"/>
      <c r="B9" s="29">
        <f>'MN layout (2x)'!C5</f>
        <v>2</v>
      </c>
      <c r="C9" s="30" t="str">
        <f>'MN layout (2x)'!A5</f>
        <v>1678-044_pv2</v>
      </c>
      <c r="D9" s="14" t="str">
        <f>'MN layout (2x)'!B5</f>
        <v>1:20</v>
      </c>
      <c r="E9" s="72" t="s">
        <v>175</v>
      </c>
      <c r="F9" s="72" t="s">
        <v>176</v>
      </c>
      <c r="G9" s="72" t="s">
        <v>175</v>
      </c>
      <c r="H9" s="72" t="s">
        <v>177</v>
      </c>
      <c r="I9" s="31" t="s">
        <v>174</v>
      </c>
      <c r="J9" s="31" t="s">
        <v>174</v>
      </c>
      <c r="K9" s="31" t="s">
        <v>174</v>
      </c>
      <c r="L9" s="31" t="s">
        <v>174</v>
      </c>
      <c r="M9" s="31" t="s">
        <v>174</v>
      </c>
      <c r="N9" s="31" t="s">
        <v>174</v>
      </c>
      <c r="O9" s="31" t="s">
        <v>174</v>
      </c>
      <c r="P9" s="31" t="s">
        <v>172</v>
      </c>
      <c r="Q9" s="14" cm="1">
        <f t="array" ref="Q9">SUMPRODUCT(LEN(E9:N9)-LEN(SUBSTITUTE(E9:N9,"-","")))</f>
        <v>11</v>
      </c>
      <c r="R9" s="130">
        <f t="shared" ref="R9:R37" si="1">Q9/4</f>
        <v>2.75</v>
      </c>
      <c r="S9" s="131" t="str" cm="1">
        <f t="array" ref="S9:T9">_xlfn.TEXTSPLIT(R9,".",)</f>
        <v>2</v>
      </c>
      <c r="T9" s="131" t="str">
        <v>75</v>
      </c>
      <c r="U9" s="15">
        <f t="shared" ref="U9:U37" si="2">IF(Q9=0,10,(IF(Q9=1,10,(IF(Q9=2,20,(IF(Q9=3,20,(IF(Q9=4,20,(IF(Q9=5,20,(IF(Q9=6,40,(IF(Q9=7,40,(IF(Q9=8,40,(IF(Q9=9,40,(IF(Q9=10,80,(IF(Q9=11,80,(IF(Q9=12,80,(IF(Q9=13,80,(IF(Q9=14,160,(IF(Q9=15,160,(IF(Q9=16,160,(IF(Q9=17,160,(IF(Q9=18,320,(IF(Q9=19,320,(IF(Q9=20,320,(IF(Q9=21,320,(IF(Q9=22,640,(IF(Q9=23,640,(IF(Q9=24,640,(IF(Q9=25,640,(IF(Q9=26,1280,(IF(Q9=27,1280,(IF(Q9=28,1280,(IF(Q9=29,1280,(IF(Q9=30,2560,(IF(Q9=31,2560,(IF(Q9=32,2560,(IF(Q9=33,2560,(IF(Q9=34,5120,(IF(Q9=35,5120,(IF(Q9=36,5120,(IF(Q9=37,5120,(IF(Q9=38,10240,(IF(Q9=39,10240,(IF(Q9=40,10240,"No endpoint")))))))))))))))))))))))))))))))))))))))))))))))))))))))))))))))))))))))))))))))))</f>
        <v>80</v>
      </c>
      <c r="V9" s="15">
        <f t="shared" ref="V9:V12" si="3">IF(T9="25",0,(IF(T9="5",50,(IF(T9="75",25,0)))))</f>
        <v>25</v>
      </c>
      <c r="W9" s="14">
        <f>50-V9</f>
        <v>25</v>
      </c>
      <c r="X9" s="15">
        <f t="shared" ref="X9:X12" si="4">IF(T9="25",75,100)</f>
        <v>100</v>
      </c>
      <c r="Y9" s="14">
        <f>X9-V9</f>
        <v>75</v>
      </c>
      <c r="Z9" s="32">
        <f>W9/Y9</f>
        <v>0.33333333333333331</v>
      </c>
      <c r="AA9" s="14">
        <f>LOG10(2)</f>
        <v>0.3010299956639812</v>
      </c>
      <c r="AB9" s="33">
        <f>Z9*AA9</f>
        <v>0.10034333188799373</v>
      </c>
      <c r="AC9" s="33">
        <f t="shared" si="0"/>
        <v>1.9030899869919435</v>
      </c>
      <c r="AD9" s="33">
        <f>AB9+AC9</f>
        <v>2.0034333188799374</v>
      </c>
      <c r="AE9" s="34">
        <f>10^AD9</f>
        <v>100.79368399158987</v>
      </c>
      <c r="AF9" s="132">
        <f t="shared" ref="AF9:AF37" si="5">ROUND(AE9,1)</f>
        <v>100.8</v>
      </c>
      <c r="AG9" s="15">
        <f t="shared" ref="AG9:AG37" si="6">IF(AF9&lt;20,"&lt;20",ROUND(AF9,0))</f>
        <v>101</v>
      </c>
    </row>
    <row r="10" spans="1:37" x14ac:dyDescent="0.2">
      <c r="A10" s="155" t="s">
        <v>178</v>
      </c>
      <c r="B10" s="16">
        <f>'MN layout (2x)'!C6</f>
        <v>3</v>
      </c>
      <c r="C10" s="17" t="str">
        <f>'MN layout (2x)'!A6</f>
        <v>1678-044_PB1</v>
      </c>
      <c r="D10" s="11" t="str">
        <f>'MN layout (2x)'!B6</f>
        <v>1:20</v>
      </c>
      <c r="E10" s="18" t="s">
        <v>172</v>
      </c>
      <c r="F10" s="18" t="s">
        <v>172</v>
      </c>
      <c r="G10" s="18" t="s">
        <v>172</v>
      </c>
      <c r="H10" s="18" t="s">
        <v>172</v>
      </c>
      <c r="I10" s="18" t="s">
        <v>172</v>
      </c>
      <c r="J10" s="18" t="s">
        <v>179</v>
      </c>
      <c r="K10" s="18" t="s">
        <v>180</v>
      </c>
      <c r="L10" s="18" t="s">
        <v>181</v>
      </c>
      <c r="M10" s="18" t="s">
        <v>181</v>
      </c>
      <c r="N10" s="11" t="s">
        <v>174</v>
      </c>
      <c r="O10" s="11" t="s">
        <v>174</v>
      </c>
      <c r="P10" s="11" t="s">
        <v>172</v>
      </c>
      <c r="Q10" s="22" cm="1">
        <f t="array" ref="Q10">SUMPRODUCT(LEN(E10:N10)-LEN(SUBSTITUTE(E10:N10,"-","")))</f>
        <v>27</v>
      </c>
      <c r="R10" s="127">
        <f t="shared" si="1"/>
        <v>6.75</v>
      </c>
      <c r="S10" s="128" t="str" cm="1">
        <f t="array" ref="S10:T10">_xlfn.TEXTSPLIT(R10,".",)</f>
        <v>6</v>
      </c>
      <c r="T10" s="128" t="str">
        <v>75</v>
      </c>
      <c r="U10" s="12">
        <f t="shared" si="2"/>
        <v>1280</v>
      </c>
      <c r="V10" s="12">
        <f t="shared" si="3"/>
        <v>25</v>
      </c>
      <c r="W10" s="22">
        <f>50-V10</f>
        <v>25</v>
      </c>
      <c r="X10" s="12">
        <f t="shared" si="4"/>
        <v>100</v>
      </c>
      <c r="Y10" s="22">
        <f>X10-V10</f>
        <v>75</v>
      </c>
      <c r="Z10" s="19">
        <f>W10/Y10</f>
        <v>0.33333333333333331</v>
      </c>
      <c r="AA10" s="22">
        <f>LOG10(2)</f>
        <v>0.3010299956639812</v>
      </c>
      <c r="AB10" s="20">
        <f>Z10*AA10</f>
        <v>0.10034333188799373</v>
      </c>
      <c r="AC10" s="20">
        <f t="shared" si="0"/>
        <v>3.1072099696478683</v>
      </c>
      <c r="AD10" s="20">
        <f>AB10+AC10</f>
        <v>3.2075533015358619</v>
      </c>
      <c r="AE10" s="21">
        <f>10^AD10</f>
        <v>1612.6989438654387</v>
      </c>
      <c r="AF10" s="129">
        <f t="shared" si="5"/>
        <v>1612.7</v>
      </c>
      <c r="AG10" s="12">
        <f t="shared" si="6"/>
        <v>1613</v>
      </c>
    </row>
    <row r="11" spans="1:37" s="35" customFormat="1" x14ac:dyDescent="0.2">
      <c r="A11" s="155"/>
      <c r="B11" s="29">
        <f>'MN layout (2x)'!C7</f>
        <v>4</v>
      </c>
      <c r="C11" s="30" t="str">
        <f>'MN layout (2x)'!A7</f>
        <v>1678-047_pv2</v>
      </c>
      <c r="D11" s="31" t="str">
        <f>'MN layout (2x)'!B7</f>
        <v>1:20</v>
      </c>
      <c r="E11" s="72" t="s">
        <v>172</v>
      </c>
      <c r="F11" s="72" t="s">
        <v>172</v>
      </c>
      <c r="G11" s="72" t="s">
        <v>182</v>
      </c>
      <c r="H11" s="72" t="s">
        <v>172</v>
      </c>
      <c r="I11" s="72" t="s">
        <v>182</v>
      </c>
      <c r="J11" s="72" t="s">
        <v>173</v>
      </c>
      <c r="K11" s="31" t="s">
        <v>174</v>
      </c>
      <c r="L11" s="31" t="s">
        <v>174</v>
      </c>
      <c r="M11" s="31" t="s">
        <v>174</v>
      </c>
      <c r="N11" s="31" t="s">
        <v>174</v>
      </c>
      <c r="O11" s="31" t="s">
        <v>174</v>
      </c>
      <c r="P11" s="31" t="s">
        <v>172</v>
      </c>
      <c r="Q11" s="14" cm="1">
        <f t="array" ref="Q11">SUMPRODUCT(LEN(E11:N11)-LEN(SUBSTITUTE(E11:N11,"-","")))</f>
        <v>17</v>
      </c>
      <c r="R11" s="130">
        <f t="shared" si="1"/>
        <v>4.25</v>
      </c>
      <c r="S11" s="131" t="str" cm="1">
        <f t="array" ref="S11:T11">_xlfn.TEXTSPLIT(R11,".",)</f>
        <v>4</v>
      </c>
      <c r="T11" s="131" t="str">
        <v>25</v>
      </c>
      <c r="U11" s="15">
        <f t="shared" si="2"/>
        <v>160</v>
      </c>
      <c r="V11" s="15">
        <f t="shared" si="3"/>
        <v>0</v>
      </c>
      <c r="W11" s="14">
        <f t="shared" ref="W11:W37" si="7">50-V11</f>
        <v>50</v>
      </c>
      <c r="X11" s="15">
        <f t="shared" si="4"/>
        <v>75</v>
      </c>
      <c r="Y11" s="14">
        <f t="shared" ref="Y11:Y37" si="8">X11-V11</f>
        <v>75</v>
      </c>
      <c r="Z11" s="32">
        <f t="shared" ref="Z11:Z37" si="9">W11/Y11</f>
        <v>0.66666666666666663</v>
      </c>
      <c r="AA11" s="14">
        <f t="shared" ref="AA11:AA37" si="10">LOG10(2)</f>
        <v>0.3010299956639812</v>
      </c>
      <c r="AB11" s="33">
        <f t="shared" ref="AB11:AB37" si="11">Z11*AA11</f>
        <v>0.20068666377598746</v>
      </c>
      <c r="AC11" s="33">
        <f t="shared" si="0"/>
        <v>2.2041199826559246</v>
      </c>
      <c r="AD11" s="33">
        <f t="shared" ref="AD11:AD37" si="12">AB11+AC11</f>
        <v>2.4048066464319122</v>
      </c>
      <c r="AE11" s="34">
        <f t="shared" ref="AE11:AE37" si="13">10^AD11</f>
        <v>253.98416831491193</v>
      </c>
      <c r="AF11" s="132">
        <f t="shared" si="5"/>
        <v>254</v>
      </c>
      <c r="AG11" s="15">
        <f t="shared" si="6"/>
        <v>254</v>
      </c>
    </row>
    <row r="12" spans="1:37" x14ac:dyDescent="0.2">
      <c r="A12" s="155" t="s">
        <v>183</v>
      </c>
      <c r="B12" s="16">
        <f>'MN layout (2x)'!C8</f>
        <v>5</v>
      </c>
      <c r="C12" s="17" t="str">
        <f>'MN layout (2x)'!A8</f>
        <v>1678-047_post_v3</v>
      </c>
      <c r="D12" s="11" t="str">
        <f>'MN layout (2x)'!B8</f>
        <v>1:20</v>
      </c>
      <c r="E12" s="18" t="s">
        <v>172</v>
      </c>
      <c r="F12" s="18" t="s">
        <v>172</v>
      </c>
      <c r="G12" s="18" t="s">
        <v>172</v>
      </c>
      <c r="H12" s="18" t="s">
        <v>176</v>
      </c>
      <c r="I12" s="18" t="s">
        <v>177</v>
      </c>
      <c r="J12" s="11" t="s">
        <v>174</v>
      </c>
      <c r="K12" s="18" t="s">
        <v>181</v>
      </c>
      <c r="L12" s="18" t="s">
        <v>173</v>
      </c>
      <c r="M12" s="11" t="s">
        <v>174</v>
      </c>
      <c r="N12" s="11" t="s">
        <v>174</v>
      </c>
      <c r="O12" s="18" t="s">
        <v>184</v>
      </c>
      <c r="P12" s="11" t="s">
        <v>172</v>
      </c>
      <c r="Q12" s="22" cm="1">
        <f t="array" ref="Q12">SUMPRODUCT(LEN(E12:N12)-LEN(SUBSTITUTE(E12:N12,"-","")))</f>
        <v>19</v>
      </c>
      <c r="R12" s="127">
        <f t="shared" si="1"/>
        <v>4.75</v>
      </c>
      <c r="S12" s="128" t="str" cm="1">
        <f t="array" ref="S12:T12">_xlfn.TEXTSPLIT(R12,".",)</f>
        <v>4</v>
      </c>
      <c r="T12" s="128" t="str">
        <v>75</v>
      </c>
      <c r="U12" s="12">
        <f t="shared" si="2"/>
        <v>320</v>
      </c>
      <c r="V12" s="12">
        <f t="shared" si="3"/>
        <v>25</v>
      </c>
      <c r="W12" s="22">
        <f t="shared" si="7"/>
        <v>25</v>
      </c>
      <c r="X12" s="12">
        <f t="shared" si="4"/>
        <v>100</v>
      </c>
      <c r="Y12" s="22">
        <f t="shared" si="8"/>
        <v>75</v>
      </c>
      <c r="Z12" s="19">
        <f t="shared" si="9"/>
        <v>0.33333333333333331</v>
      </c>
      <c r="AA12" s="22">
        <f t="shared" si="10"/>
        <v>0.3010299956639812</v>
      </c>
      <c r="AB12" s="20">
        <f t="shared" si="11"/>
        <v>0.10034333188799373</v>
      </c>
      <c r="AC12" s="20">
        <f t="shared" si="0"/>
        <v>2.5051499783199058</v>
      </c>
      <c r="AD12" s="20">
        <f t="shared" si="12"/>
        <v>2.6054933102078994</v>
      </c>
      <c r="AE12" s="21">
        <f t="shared" si="13"/>
        <v>403.17473596635921</v>
      </c>
      <c r="AF12" s="129">
        <f t="shared" si="5"/>
        <v>403.2</v>
      </c>
      <c r="AG12" s="12">
        <f t="shared" si="6"/>
        <v>403</v>
      </c>
    </row>
    <row r="13" spans="1:37" s="35" customFormat="1" x14ac:dyDescent="0.2">
      <c r="A13" s="155"/>
      <c r="B13" s="29">
        <f>'MN layout (2x)'!C9</f>
        <v>6</v>
      </c>
      <c r="C13" s="30" t="str">
        <f>'MN layout (2x)'!A9</f>
        <v>1678-061_pv2</v>
      </c>
      <c r="D13" s="31" t="str">
        <f>'MN layout (2x)'!B9</f>
        <v>1:20</v>
      </c>
      <c r="E13" s="72" t="s">
        <v>172</v>
      </c>
      <c r="F13" s="72" t="s">
        <v>175</v>
      </c>
      <c r="G13" s="72" t="s">
        <v>185</v>
      </c>
      <c r="H13" s="72" t="s">
        <v>186</v>
      </c>
      <c r="I13" s="72" t="s">
        <v>187</v>
      </c>
      <c r="J13" s="72" t="s">
        <v>184</v>
      </c>
      <c r="K13" s="31" t="s">
        <v>174</v>
      </c>
      <c r="L13" s="31" t="s">
        <v>174</v>
      </c>
      <c r="M13" s="31" t="s">
        <v>174</v>
      </c>
      <c r="N13" s="31" t="s">
        <v>174</v>
      </c>
      <c r="O13" s="31" t="s">
        <v>174</v>
      </c>
      <c r="P13" s="31" t="s">
        <v>172</v>
      </c>
      <c r="Q13" s="14" cm="1">
        <f t="array" ref="Q13">SUMPRODUCT(LEN(E13:N13)-LEN(SUBSTITUTE(E13:N13,"-","")))</f>
        <v>15</v>
      </c>
      <c r="R13" s="130">
        <f t="shared" si="1"/>
        <v>3.75</v>
      </c>
      <c r="S13" s="131" t="str" cm="1">
        <f t="array" ref="S13:T13">_xlfn.TEXTSPLIT(R13,".",)</f>
        <v>3</v>
      </c>
      <c r="T13" s="131" t="str">
        <v>75</v>
      </c>
      <c r="U13" s="15">
        <f t="shared" si="2"/>
        <v>160</v>
      </c>
      <c r="V13" s="15">
        <f>IF(T13="25",0,(IF(T13="5",50,(IF(T13="75",25,0)))))</f>
        <v>25</v>
      </c>
      <c r="W13" s="14">
        <f t="shared" si="7"/>
        <v>25</v>
      </c>
      <c r="X13" s="15">
        <f>IF(T13="25",75,100)</f>
        <v>100</v>
      </c>
      <c r="Y13" s="14">
        <f t="shared" si="8"/>
        <v>75</v>
      </c>
      <c r="Z13" s="32">
        <f t="shared" si="9"/>
        <v>0.33333333333333331</v>
      </c>
      <c r="AA13" s="14">
        <f t="shared" si="10"/>
        <v>0.3010299956639812</v>
      </c>
      <c r="AB13" s="33">
        <f t="shared" si="11"/>
        <v>0.10034333188799373</v>
      </c>
      <c r="AC13" s="33">
        <f t="shared" si="0"/>
        <v>2.2041199826559246</v>
      </c>
      <c r="AD13" s="33">
        <f t="shared" si="12"/>
        <v>2.3044633145439182</v>
      </c>
      <c r="AE13" s="34">
        <f t="shared" si="13"/>
        <v>201.58736798317958</v>
      </c>
      <c r="AF13" s="132">
        <f t="shared" si="5"/>
        <v>201.6</v>
      </c>
      <c r="AG13" s="15">
        <f t="shared" si="6"/>
        <v>202</v>
      </c>
    </row>
    <row r="14" spans="1:37" x14ac:dyDescent="0.2">
      <c r="A14" s="155" t="s">
        <v>188</v>
      </c>
      <c r="B14" s="16">
        <f>'MN layout (2x)'!C10</f>
        <v>7</v>
      </c>
      <c r="C14" s="17" t="str">
        <f>'MN layout (2x)'!A10</f>
        <v>1678-061_post_v3</v>
      </c>
      <c r="D14" s="11" t="str">
        <f>'MN layout (2x)'!B10</f>
        <v>1:20</v>
      </c>
      <c r="E14" s="18" t="s">
        <v>172</v>
      </c>
      <c r="F14" s="18" t="s">
        <v>172</v>
      </c>
      <c r="G14" s="18" t="s">
        <v>172</v>
      </c>
      <c r="H14" s="18" t="s">
        <v>172</v>
      </c>
      <c r="I14" s="18" t="s">
        <v>172</v>
      </c>
      <c r="J14" s="18" t="s">
        <v>182</v>
      </c>
      <c r="K14" s="11" t="s">
        <v>174</v>
      </c>
      <c r="L14" s="11" t="s">
        <v>174</v>
      </c>
      <c r="M14" s="11" t="s">
        <v>174</v>
      </c>
      <c r="N14" s="11" t="s">
        <v>174</v>
      </c>
      <c r="O14" s="11" t="s">
        <v>174</v>
      </c>
      <c r="P14" s="11" t="s">
        <v>172</v>
      </c>
      <c r="Q14" s="22" cm="1">
        <f t="array" ref="Q14">SUMPRODUCT(LEN(E14:N14)-LEN(SUBSTITUTE(E14:N14,"-","")))</f>
        <v>22</v>
      </c>
      <c r="R14" s="127">
        <f t="shared" si="1"/>
        <v>5.5</v>
      </c>
      <c r="S14" s="128" t="str" cm="1">
        <f t="array" ref="S14:T14">_xlfn.TEXTSPLIT(R14,".",)</f>
        <v>5</v>
      </c>
      <c r="T14" s="128" t="str">
        <v>5</v>
      </c>
      <c r="U14" s="12">
        <f t="shared" si="2"/>
        <v>640</v>
      </c>
      <c r="V14" s="12">
        <f>IF(T14="25",0,(IF(T14="5",50,(IF(T14="75",25,0)))))</f>
        <v>50</v>
      </c>
      <c r="W14" s="22">
        <f t="shared" si="7"/>
        <v>0</v>
      </c>
      <c r="X14" s="12">
        <f>IF(T14="25",75,100)</f>
        <v>100</v>
      </c>
      <c r="Y14" s="22">
        <f t="shared" si="8"/>
        <v>50</v>
      </c>
      <c r="Z14" s="19">
        <f t="shared" si="9"/>
        <v>0</v>
      </c>
      <c r="AA14" s="22">
        <f t="shared" si="10"/>
        <v>0.3010299956639812</v>
      </c>
      <c r="AB14" s="20">
        <f t="shared" si="11"/>
        <v>0</v>
      </c>
      <c r="AC14" s="20">
        <f t="shared" si="0"/>
        <v>2.8061799739838871</v>
      </c>
      <c r="AD14" s="20">
        <f t="shared" si="12"/>
        <v>2.8061799739838871</v>
      </c>
      <c r="AE14" s="21">
        <f t="shared" si="13"/>
        <v>640.00000000000045</v>
      </c>
      <c r="AF14" s="129">
        <f t="shared" si="5"/>
        <v>640</v>
      </c>
      <c r="AG14" s="12">
        <f t="shared" si="6"/>
        <v>640</v>
      </c>
    </row>
    <row r="15" spans="1:37" s="35" customFormat="1" x14ac:dyDescent="0.2">
      <c r="A15" s="155"/>
      <c r="B15" s="29">
        <f>'MN layout (2x)'!C11</f>
        <v>8</v>
      </c>
      <c r="C15" s="30" t="str">
        <f>'MN layout (2x)'!A11</f>
        <v>1678-065_pv2</v>
      </c>
      <c r="D15" s="31" t="str">
        <f>'MN layout (2x)'!B11</f>
        <v>1:20</v>
      </c>
      <c r="E15" s="72" t="s">
        <v>172</v>
      </c>
      <c r="F15" s="72" t="s">
        <v>185</v>
      </c>
      <c r="G15" s="72" t="s">
        <v>180</v>
      </c>
      <c r="H15" s="72" t="s">
        <v>176</v>
      </c>
      <c r="I15" s="72" t="s">
        <v>180</v>
      </c>
      <c r="J15" s="31" t="s">
        <v>174</v>
      </c>
      <c r="K15" s="31" t="s">
        <v>174</v>
      </c>
      <c r="L15" s="31" t="s">
        <v>174</v>
      </c>
      <c r="M15" s="31" t="s">
        <v>174</v>
      </c>
      <c r="N15" s="31" t="s">
        <v>174</v>
      </c>
      <c r="O15" s="72" t="s">
        <v>189</v>
      </c>
      <c r="P15" s="31" t="s">
        <v>172</v>
      </c>
      <c r="Q15" s="14" cm="1">
        <f t="array" ref="Q15">SUMPRODUCT(LEN(E15:N15)-LEN(SUBSTITUTE(E15:N15,"-","")))</f>
        <v>14</v>
      </c>
      <c r="R15" s="130">
        <f t="shared" si="1"/>
        <v>3.5</v>
      </c>
      <c r="S15" s="131" t="str" cm="1">
        <f t="array" ref="S15:T15">_xlfn.TEXTSPLIT(R15,".",)</f>
        <v>3</v>
      </c>
      <c r="T15" s="131" t="str">
        <v>5</v>
      </c>
      <c r="U15" s="15">
        <f t="shared" si="2"/>
        <v>160</v>
      </c>
      <c r="V15" s="15">
        <f t="shared" ref="V15:V37" si="14">IF(T15="25",0,(IF(T15="5",50,(IF(T15="75",25,0)))))</f>
        <v>50</v>
      </c>
      <c r="W15" s="14">
        <f t="shared" si="7"/>
        <v>0</v>
      </c>
      <c r="X15" s="15">
        <f t="shared" ref="X15:X37" si="15">IF(T15="25",75,100)</f>
        <v>100</v>
      </c>
      <c r="Y15" s="14">
        <f t="shared" si="8"/>
        <v>50</v>
      </c>
      <c r="Z15" s="32">
        <f t="shared" si="9"/>
        <v>0</v>
      </c>
      <c r="AA15" s="14">
        <f t="shared" si="10"/>
        <v>0.3010299956639812</v>
      </c>
      <c r="AB15" s="33">
        <f t="shared" si="11"/>
        <v>0</v>
      </c>
      <c r="AC15" s="33">
        <f t="shared" si="0"/>
        <v>2.2041199826559246</v>
      </c>
      <c r="AD15" s="33">
        <f t="shared" si="12"/>
        <v>2.2041199826559246</v>
      </c>
      <c r="AE15" s="34">
        <f t="shared" si="13"/>
        <v>159.99999999999994</v>
      </c>
      <c r="AF15" s="132">
        <f t="shared" si="5"/>
        <v>160</v>
      </c>
      <c r="AG15" s="15">
        <f t="shared" si="6"/>
        <v>160</v>
      </c>
    </row>
    <row r="16" spans="1:37" x14ac:dyDescent="0.2">
      <c r="A16" s="155" t="s">
        <v>190</v>
      </c>
      <c r="B16" s="16">
        <f>'MN layout (2x)'!C12</f>
        <v>9</v>
      </c>
      <c r="C16" s="17" t="str">
        <f>'MN layout (2x)'!A12</f>
        <v>1678-065_post_v3</v>
      </c>
      <c r="D16" s="11" t="str">
        <f>'MN layout (2x)'!B12</f>
        <v>1:20</v>
      </c>
      <c r="E16" s="18" t="s">
        <v>172</v>
      </c>
      <c r="F16" s="18" t="s">
        <v>172</v>
      </c>
      <c r="G16" s="18" t="s">
        <v>172</v>
      </c>
      <c r="H16" s="18" t="s">
        <v>172</v>
      </c>
      <c r="I16" s="18" t="s">
        <v>176</v>
      </c>
      <c r="J16" s="18" t="s">
        <v>172</v>
      </c>
      <c r="K16" s="18" t="s">
        <v>186</v>
      </c>
      <c r="L16" s="11" t="s">
        <v>174</v>
      </c>
      <c r="M16" s="11" t="s">
        <v>174</v>
      </c>
      <c r="N16" s="11" t="s">
        <v>174</v>
      </c>
      <c r="O16" s="11" t="s">
        <v>174</v>
      </c>
      <c r="P16" s="11" t="s">
        <v>172</v>
      </c>
      <c r="Q16" s="22" cm="1">
        <f t="array" ref="Q16">SUMPRODUCT(LEN(E16:N16)-LEN(SUBSTITUTE(E16:N16,"-","")))</f>
        <v>25</v>
      </c>
      <c r="R16" s="127">
        <f t="shared" si="1"/>
        <v>6.25</v>
      </c>
      <c r="S16" s="128" t="str" cm="1">
        <f t="array" ref="S16:T16">_xlfn.TEXTSPLIT(R16,".",)</f>
        <v>6</v>
      </c>
      <c r="T16" s="128" t="str">
        <v>25</v>
      </c>
      <c r="U16" s="12">
        <f t="shared" si="2"/>
        <v>640</v>
      </c>
      <c r="V16" s="12">
        <f t="shared" si="14"/>
        <v>0</v>
      </c>
      <c r="W16" s="22">
        <f t="shared" si="7"/>
        <v>50</v>
      </c>
      <c r="X16" s="12">
        <f t="shared" si="15"/>
        <v>75</v>
      </c>
      <c r="Y16" s="22">
        <f t="shared" si="8"/>
        <v>75</v>
      </c>
      <c r="Z16" s="19">
        <f t="shared" si="9"/>
        <v>0.66666666666666663</v>
      </c>
      <c r="AA16" s="22">
        <f t="shared" si="10"/>
        <v>0.3010299956639812</v>
      </c>
      <c r="AB16" s="20">
        <f t="shared" si="11"/>
        <v>0.20068666377598746</v>
      </c>
      <c r="AC16" s="20">
        <f t="shared" si="0"/>
        <v>2.8061799739838871</v>
      </c>
      <c r="AD16" s="20">
        <f t="shared" si="12"/>
        <v>3.0068666377598747</v>
      </c>
      <c r="AE16" s="21">
        <f t="shared" si="13"/>
        <v>1015.9366732596487</v>
      </c>
      <c r="AF16" s="129">
        <f t="shared" si="5"/>
        <v>1015.9</v>
      </c>
      <c r="AG16" s="12">
        <f t="shared" si="6"/>
        <v>1016</v>
      </c>
    </row>
    <row r="17" spans="1:33" s="35" customFormat="1" x14ac:dyDescent="0.2">
      <c r="A17" s="155"/>
      <c r="B17" s="29">
        <f>'MN layout (2x)'!C13</f>
        <v>10</v>
      </c>
      <c r="C17" s="30" t="str">
        <f>'MN layout (2x)'!A13</f>
        <v>1678-069 (008)_pv2</v>
      </c>
      <c r="D17" s="31" t="str">
        <f>'MN layout (2x)'!B13</f>
        <v>1:20</v>
      </c>
      <c r="E17" s="72" t="s">
        <v>175</v>
      </c>
      <c r="F17" s="72" t="s">
        <v>185</v>
      </c>
      <c r="G17" s="72" t="s">
        <v>175</v>
      </c>
      <c r="H17" s="72" t="s">
        <v>185</v>
      </c>
      <c r="I17" s="72" t="s">
        <v>181</v>
      </c>
      <c r="J17" s="72" t="s">
        <v>191</v>
      </c>
      <c r="K17" s="31" t="s">
        <v>174</v>
      </c>
      <c r="L17" s="31" t="s">
        <v>174</v>
      </c>
      <c r="M17" s="31" t="s">
        <v>174</v>
      </c>
      <c r="N17" s="31" t="s">
        <v>174</v>
      </c>
      <c r="O17" s="31" t="s">
        <v>174</v>
      </c>
      <c r="P17" s="31" t="s">
        <v>172</v>
      </c>
      <c r="Q17" s="14" cm="1">
        <f t="array" ref="Q17">SUMPRODUCT(LEN(E17:N17)-LEN(SUBSTITUTE(E17:N17,"-","")))</f>
        <v>15</v>
      </c>
      <c r="R17" s="130">
        <f t="shared" si="1"/>
        <v>3.75</v>
      </c>
      <c r="S17" s="131" t="str" cm="1">
        <f t="array" ref="S17:T17">_xlfn.TEXTSPLIT(R17,".",)</f>
        <v>3</v>
      </c>
      <c r="T17" s="131" t="str">
        <v>75</v>
      </c>
      <c r="U17" s="15">
        <f t="shared" si="2"/>
        <v>160</v>
      </c>
      <c r="V17" s="15">
        <f t="shared" si="14"/>
        <v>25</v>
      </c>
      <c r="W17" s="14">
        <f t="shared" si="7"/>
        <v>25</v>
      </c>
      <c r="X17" s="15">
        <f t="shared" si="15"/>
        <v>100</v>
      </c>
      <c r="Y17" s="14">
        <f t="shared" si="8"/>
        <v>75</v>
      </c>
      <c r="Z17" s="32">
        <f t="shared" si="9"/>
        <v>0.33333333333333331</v>
      </c>
      <c r="AA17" s="14">
        <f t="shared" si="10"/>
        <v>0.3010299956639812</v>
      </c>
      <c r="AB17" s="33">
        <f t="shared" si="11"/>
        <v>0.10034333188799373</v>
      </c>
      <c r="AC17" s="33">
        <f t="shared" si="0"/>
        <v>2.2041199826559246</v>
      </c>
      <c r="AD17" s="33">
        <f t="shared" si="12"/>
        <v>2.3044633145439182</v>
      </c>
      <c r="AE17" s="34">
        <f t="shared" si="13"/>
        <v>201.58736798317958</v>
      </c>
      <c r="AF17" s="132">
        <f t="shared" si="5"/>
        <v>201.6</v>
      </c>
      <c r="AG17" s="15">
        <f t="shared" si="6"/>
        <v>202</v>
      </c>
    </row>
    <row r="18" spans="1:33" x14ac:dyDescent="0.2">
      <c r="A18" s="155" t="s">
        <v>192</v>
      </c>
      <c r="B18" s="16">
        <f>'MN layout (2x)'!C14</f>
        <v>11</v>
      </c>
      <c r="C18" s="17" t="str">
        <f>'MN layout (2x)'!A14</f>
        <v>1678-069 (008)_M9</v>
      </c>
      <c r="D18" s="11" t="str">
        <f>'MN layout (2x)'!B14</f>
        <v>1:20</v>
      </c>
      <c r="E18" s="18" t="s">
        <v>172</v>
      </c>
      <c r="F18" s="18" t="s">
        <v>173</v>
      </c>
      <c r="G18" s="18" t="s">
        <v>172</v>
      </c>
      <c r="H18" s="11" t="s">
        <v>174</v>
      </c>
      <c r="I18" s="18" t="s">
        <v>189</v>
      </c>
      <c r="J18" s="18" t="s">
        <v>189</v>
      </c>
      <c r="K18" s="11" t="s">
        <v>174</v>
      </c>
      <c r="L18" s="11" t="s">
        <v>174</v>
      </c>
      <c r="M18" s="11" t="s">
        <v>174</v>
      </c>
      <c r="N18" s="11" t="s">
        <v>174</v>
      </c>
      <c r="O18" s="11" t="s">
        <v>174</v>
      </c>
      <c r="P18" s="11" t="s">
        <v>172</v>
      </c>
      <c r="Q18" s="22" cm="1">
        <f t="array" ref="Q18">SUMPRODUCT(LEN(E18:N18)-LEN(SUBSTITUTE(E18:N18,"-","")))</f>
        <v>11</v>
      </c>
      <c r="R18" s="127">
        <f t="shared" si="1"/>
        <v>2.75</v>
      </c>
      <c r="S18" s="128" t="str" cm="1">
        <f t="array" ref="S18:T18">_xlfn.TEXTSPLIT(R18,".",)</f>
        <v>2</v>
      </c>
      <c r="T18" s="128" t="str">
        <v>75</v>
      </c>
      <c r="U18" s="12">
        <f t="shared" si="2"/>
        <v>80</v>
      </c>
      <c r="V18" s="12">
        <f t="shared" si="14"/>
        <v>25</v>
      </c>
      <c r="W18" s="22">
        <f t="shared" si="7"/>
        <v>25</v>
      </c>
      <c r="X18" s="12">
        <f t="shared" si="15"/>
        <v>100</v>
      </c>
      <c r="Y18" s="22">
        <f t="shared" si="8"/>
        <v>75</v>
      </c>
      <c r="Z18" s="19">
        <f t="shared" si="9"/>
        <v>0.33333333333333331</v>
      </c>
      <c r="AA18" s="22">
        <f t="shared" si="10"/>
        <v>0.3010299956639812</v>
      </c>
      <c r="AB18" s="20">
        <f t="shared" si="11"/>
        <v>0.10034333188799373</v>
      </c>
      <c r="AC18" s="20">
        <f t="shared" si="0"/>
        <v>1.9030899869919435</v>
      </c>
      <c r="AD18" s="20">
        <f t="shared" si="12"/>
        <v>2.0034333188799374</v>
      </c>
      <c r="AE18" s="21">
        <f t="shared" si="13"/>
        <v>100.79368399158987</v>
      </c>
      <c r="AF18" s="129">
        <f t="shared" si="5"/>
        <v>100.8</v>
      </c>
      <c r="AG18" s="12">
        <f t="shared" si="6"/>
        <v>101</v>
      </c>
    </row>
    <row r="19" spans="1:33" s="35" customFormat="1" x14ac:dyDescent="0.2">
      <c r="A19" s="155"/>
      <c r="B19" s="29">
        <f>'MN layout (2x)'!C15</f>
        <v>12</v>
      </c>
      <c r="C19" s="30" t="str">
        <f>'MN layout (2x)'!A15</f>
        <v>1678-070 (043)_pv2</v>
      </c>
      <c r="D19" s="31" t="str">
        <f>'MN layout (2x)'!B15</f>
        <v>1:20</v>
      </c>
      <c r="E19" s="72" t="s">
        <v>176</v>
      </c>
      <c r="F19" s="72" t="s">
        <v>172</v>
      </c>
      <c r="G19" s="72" t="s">
        <v>175</v>
      </c>
      <c r="H19" s="72" t="s">
        <v>180</v>
      </c>
      <c r="I19" s="72" t="s">
        <v>191</v>
      </c>
      <c r="J19" s="72" t="s">
        <v>181</v>
      </c>
      <c r="K19" s="31" t="s">
        <v>174</v>
      </c>
      <c r="L19" s="31" t="s">
        <v>174</v>
      </c>
      <c r="M19" s="31" t="s">
        <v>174</v>
      </c>
      <c r="N19" s="31" t="s">
        <v>174</v>
      </c>
      <c r="O19" s="31" t="s">
        <v>174</v>
      </c>
      <c r="P19" s="31" t="s">
        <v>172</v>
      </c>
      <c r="Q19" s="14" cm="1">
        <f t="array" ref="Q19">SUMPRODUCT(LEN(E19:N19)-LEN(SUBSTITUTE(E19:N19,"-","")))</f>
        <v>15</v>
      </c>
      <c r="R19" s="130">
        <f t="shared" si="1"/>
        <v>3.75</v>
      </c>
      <c r="S19" s="131" t="str" cm="1">
        <f t="array" ref="S19:T19">_xlfn.TEXTSPLIT(R19,".",)</f>
        <v>3</v>
      </c>
      <c r="T19" s="131" t="str">
        <v>75</v>
      </c>
      <c r="U19" s="15">
        <f t="shared" si="2"/>
        <v>160</v>
      </c>
      <c r="V19" s="15">
        <f t="shared" si="14"/>
        <v>25</v>
      </c>
      <c r="W19" s="14">
        <f t="shared" si="7"/>
        <v>25</v>
      </c>
      <c r="X19" s="15">
        <f t="shared" si="15"/>
        <v>100</v>
      </c>
      <c r="Y19" s="14">
        <f t="shared" si="8"/>
        <v>75</v>
      </c>
      <c r="Z19" s="32">
        <f t="shared" si="9"/>
        <v>0.33333333333333331</v>
      </c>
      <c r="AA19" s="14">
        <f t="shared" si="10"/>
        <v>0.3010299956639812</v>
      </c>
      <c r="AB19" s="33">
        <f t="shared" si="11"/>
        <v>0.10034333188799373</v>
      </c>
      <c r="AC19" s="33">
        <f t="shared" si="0"/>
        <v>2.2041199826559246</v>
      </c>
      <c r="AD19" s="33">
        <f t="shared" si="12"/>
        <v>2.3044633145439182</v>
      </c>
      <c r="AE19" s="34">
        <f t="shared" si="13"/>
        <v>201.58736798317958</v>
      </c>
      <c r="AF19" s="132">
        <f t="shared" si="5"/>
        <v>201.6</v>
      </c>
      <c r="AG19" s="15">
        <f t="shared" si="6"/>
        <v>202</v>
      </c>
    </row>
    <row r="20" spans="1:33" x14ac:dyDescent="0.2">
      <c r="A20" s="155" t="s">
        <v>193</v>
      </c>
      <c r="B20" s="16">
        <f>'MN layout (2x)'!C16</f>
        <v>13</v>
      </c>
      <c r="C20" s="17" t="str">
        <f>'MN layout (2x)'!A16</f>
        <v>1678-070 (043)_post_v3</v>
      </c>
      <c r="D20" s="11" t="str">
        <f>'MN layout (2x)'!B16</f>
        <v>1:20</v>
      </c>
      <c r="E20" s="18" t="s">
        <v>172</v>
      </c>
      <c r="F20" s="18" t="s">
        <v>172</v>
      </c>
      <c r="G20" s="18" t="s">
        <v>172</v>
      </c>
      <c r="H20" s="18" t="s">
        <v>172</v>
      </c>
      <c r="I20" s="18" t="s">
        <v>172</v>
      </c>
      <c r="J20" s="18" t="s">
        <v>186</v>
      </c>
      <c r="K20" s="18" t="s">
        <v>180</v>
      </c>
      <c r="L20" s="18" t="s">
        <v>173</v>
      </c>
      <c r="M20" s="11" t="s">
        <v>174</v>
      </c>
      <c r="N20" s="11" t="s">
        <v>174</v>
      </c>
      <c r="O20" s="11" t="s">
        <v>174</v>
      </c>
      <c r="P20" s="11" t="s">
        <v>172</v>
      </c>
      <c r="Q20" s="22" cm="1">
        <f t="array" ref="Q20">SUMPRODUCT(LEN(E20:N20)-LEN(SUBSTITUTE(E20:N20,"-","")))</f>
        <v>25</v>
      </c>
      <c r="R20" s="127">
        <f t="shared" si="1"/>
        <v>6.25</v>
      </c>
      <c r="S20" s="128" t="str" cm="1">
        <f t="array" ref="S20:T20">_xlfn.TEXTSPLIT(R20,".",)</f>
        <v>6</v>
      </c>
      <c r="T20" s="128" t="str">
        <v>25</v>
      </c>
      <c r="U20" s="12">
        <f t="shared" si="2"/>
        <v>640</v>
      </c>
      <c r="V20" s="12">
        <f t="shared" si="14"/>
        <v>0</v>
      </c>
      <c r="W20" s="22">
        <f t="shared" si="7"/>
        <v>50</v>
      </c>
      <c r="X20" s="12">
        <f t="shared" si="15"/>
        <v>75</v>
      </c>
      <c r="Y20" s="22">
        <f t="shared" si="8"/>
        <v>75</v>
      </c>
      <c r="Z20" s="19">
        <f t="shared" si="9"/>
        <v>0.66666666666666663</v>
      </c>
      <c r="AA20" s="22">
        <f t="shared" si="10"/>
        <v>0.3010299956639812</v>
      </c>
      <c r="AB20" s="20">
        <f t="shared" si="11"/>
        <v>0.20068666377598746</v>
      </c>
      <c r="AC20" s="20">
        <f t="shared" si="0"/>
        <v>2.8061799739838871</v>
      </c>
      <c r="AD20" s="20">
        <f t="shared" si="12"/>
        <v>3.0068666377598747</v>
      </c>
      <c r="AE20" s="21">
        <f t="shared" si="13"/>
        <v>1015.9366732596487</v>
      </c>
      <c r="AF20" s="129">
        <f t="shared" si="5"/>
        <v>1015.9</v>
      </c>
      <c r="AG20" s="12">
        <f t="shared" si="6"/>
        <v>1016</v>
      </c>
    </row>
    <row r="21" spans="1:33" s="35" customFormat="1" x14ac:dyDescent="0.2">
      <c r="A21" s="155"/>
      <c r="B21" s="29">
        <f>'MN layout (2x)'!C17</f>
        <v>14</v>
      </c>
      <c r="C21" s="30" t="str">
        <f>'MN layout (2x)'!A17</f>
        <v>1678-074_pv2</v>
      </c>
      <c r="D21" s="31" t="str">
        <f>'MN layout (2x)'!B17</f>
        <v>1:20</v>
      </c>
      <c r="E21" s="72" t="s">
        <v>185</v>
      </c>
      <c r="F21" s="72" t="s">
        <v>176</v>
      </c>
      <c r="G21" s="72" t="s">
        <v>173</v>
      </c>
      <c r="H21" s="72" t="s">
        <v>174</v>
      </c>
      <c r="I21" s="72" t="s">
        <v>181</v>
      </c>
      <c r="J21" s="31" t="s">
        <v>174</v>
      </c>
      <c r="K21" s="31" t="s">
        <v>174</v>
      </c>
      <c r="L21" s="31" t="s">
        <v>174</v>
      </c>
      <c r="M21" s="31" t="s">
        <v>174</v>
      </c>
      <c r="N21" s="31" t="s">
        <v>174</v>
      </c>
      <c r="O21" s="31" t="s">
        <v>174</v>
      </c>
      <c r="P21" s="31" t="s">
        <v>172</v>
      </c>
      <c r="Q21" s="14" cm="1">
        <f t="array" ref="Q21">SUMPRODUCT(LEN(E21:N21)-LEN(SUBSTITUTE(E21:N21,"-","")))</f>
        <v>8</v>
      </c>
      <c r="R21" s="130">
        <f t="shared" si="1"/>
        <v>2</v>
      </c>
      <c r="S21" s="131" t="str" cm="1">
        <f t="array" ref="S21">_xlfn.TEXTSPLIT(R21,".",)</f>
        <v>2</v>
      </c>
      <c r="T21" s="131"/>
      <c r="U21" s="15">
        <f t="shared" si="2"/>
        <v>40</v>
      </c>
      <c r="V21" s="15">
        <f t="shared" si="14"/>
        <v>0</v>
      </c>
      <c r="W21" s="14">
        <f t="shared" si="7"/>
        <v>50</v>
      </c>
      <c r="X21" s="15">
        <f t="shared" si="15"/>
        <v>100</v>
      </c>
      <c r="Y21" s="14">
        <f t="shared" si="8"/>
        <v>100</v>
      </c>
      <c r="Z21" s="32">
        <f t="shared" si="9"/>
        <v>0.5</v>
      </c>
      <c r="AA21" s="14">
        <f t="shared" si="10"/>
        <v>0.3010299956639812</v>
      </c>
      <c r="AB21" s="33">
        <f t="shared" si="11"/>
        <v>0.1505149978319906</v>
      </c>
      <c r="AC21" s="33">
        <f t="shared" si="0"/>
        <v>1.6020599913279623</v>
      </c>
      <c r="AD21" s="33">
        <f t="shared" si="12"/>
        <v>1.7525749891599529</v>
      </c>
      <c r="AE21" s="34">
        <f t="shared" si="13"/>
        <v>56.568542494923825</v>
      </c>
      <c r="AF21" s="132">
        <f t="shared" si="5"/>
        <v>56.6</v>
      </c>
      <c r="AG21" s="15">
        <f t="shared" si="6"/>
        <v>57</v>
      </c>
    </row>
    <row r="22" spans="1:33" x14ac:dyDescent="0.2">
      <c r="A22" s="155" t="s">
        <v>194</v>
      </c>
      <c r="B22" s="16">
        <f>'MN layout (2x)'!C18</f>
        <v>15</v>
      </c>
      <c r="C22" s="17" t="str">
        <f>'MN layout (2x)'!A18</f>
        <v>1678-074_post_v3</v>
      </c>
      <c r="D22" s="11" t="str">
        <f>'MN layout (2x)'!B18</f>
        <v>1:20</v>
      </c>
      <c r="E22" s="18" t="s">
        <v>172</v>
      </c>
      <c r="F22" s="18" t="s">
        <v>172</v>
      </c>
      <c r="G22" s="18" t="s">
        <v>172</v>
      </c>
      <c r="H22" s="18" t="s">
        <v>172</v>
      </c>
      <c r="I22" s="18" t="s">
        <v>172</v>
      </c>
      <c r="J22" s="18" t="s">
        <v>175</v>
      </c>
      <c r="K22" s="18" t="s">
        <v>179</v>
      </c>
      <c r="L22" s="18" t="s">
        <v>177</v>
      </c>
      <c r="M22" s="11" t="s">
        <v>174</v>
      </c>
      <c r="N22" s="11" t="s">
        <v>174</v>
      </c>
      <c r="O22" s="11" t="s">
        <v>174</v>
      </c>
      <c r="P22" s="11" t="s">
        <v>172</v>
      </c>
      <c r="Q22" s="22" cm="1">
        <f t="array" ref="Q22">SUMPRODUCT(LEN(E22:N22)-LEN(SUBSTITUTE(E22:N22,"-","")))</f>
        <v>28</v>
      </c>
      <c r="R22" s="127">
        <f t="shared" si="1"/>
        <v>7</v>
      </c>
      <c r="S22" s="128" t="str" cm="1">
        <f t="array" ref="S22">_xlfn.TEXTSPLIT(R22,".",)</f>
        <v>7</v>
      </c>
      <c r="T22" s="128"/>
      <c r="U22" s="12">
        <f t="shared" si="2"/>
        <v>1280</v>
      </c>
      <c r="V22" s="12">
        <f t="shared" si="14"/>
        <v>0</v>
      </c>
      <c r="W22" s="22">
        <f t="shared" si="7"/>
        <v>50</v>
      </c>
      <c r="X22" s="12">
        <f t="shared" si="15"/>
        <v>100</v>
      </c>
      <c r="Y22" s="22">
        <f t="shared" si="8"/>
        <v>100</v>
      </c>
      <c r="Z22" s="19">
        <f t="shared" si="9"/>
        <v>0.5</v>
      </c>
      <c r="AA22" s="22">
        <f t="shared" si="10"/>
        <v>0.3010299956639812</v>
      </c>
      <c r="AB22" s="20">
        <f t="shared" si="11"/>
        <v>0.1505149978319906</v>
      </c>
      <c r="AC22" s="20">
        <f t="shared" si="0"/>
        <v>3.1072099696478683</v>
      </c>
      <c r="AD22" s="20">
        <f t="shared" si="12"/>
        <v>3.257724967479859</v>
      </c>
      <c r="AE22" s="21">
        <f t="shared" si="13"/>
        <v>1810.1933598375633</v>
      </c>
      <c r="AF22" s="129">
        <f t="shared" si="5"/>
        <v>1810.2</v>
      </c>
      <c r="AG22" s="12">
        <f t="shared" si="6"/>
        <v>1810</v>
      </c>
    </row>
    <row r="23" spans="1:33" s="35" customFormat="1" x14ac:dyDescent="0.2">
      <c r="A23" s="155"/>
      <c r="B23" s="29">
        <f>'MN layout (2x)'!C19</f>
        <v>16</v>
      </c>
      <c r="C23" s="30" t="str">
        <f>'MN layout (2x)'!A19</f>
        <v>1678-097_pv2</v>
      </c>
      <c r="D23" s="31" t="str">
        <f>'MN layout (2x)'!B19</f>
        <v>1:20</v>
      </c>
      <c r="E23" s="72" t="s">
        <v>172</v>
      </c>
      <c r="F23" s="72" t="s">
        <v>172</v>
      </c>
      <c r="G23" s="72" t="s">
        <v>179</v>
      </c>
      <c r="H23" s="72" t="s">
        <v>172</v>
      </c>
      <c r="I23" s="72" t="s">
        <v>176</v>
      </c>
      <c r="J23" s="31" t="s">
        <v>174</v>
      </c>
      <c r="K23" s="31" t="s">
        <v>174</v>
      </c>
      <c r="L23" s="72" t="s">
        <v>181</v>
      </c>
      <c r="M23" s="31" t="s">
        <v>174</v>
      </c>
      <c r="N23" s="31" t="s">
        <v>174</v>
      </c>
      <c r="O23" s="31" t="s">
        <v>174</v>
      </c>
      <c r="P23" s="31" t="s">
        <v>172</v>
      </c>
      <c r="Q23" s="14" cm="1">
        <f t="array" ref="Q23">SUMPRODUCT(LEN(E23:N23)-LEN(SUBSTITUTE(E23:N23,"-","")))</f>
        <v>19</v>
      </c>
      <c r="R23" s="130">
        <f t="shared" si="1"/>
        <v>4.75</v>
      </c>
      <c r="S23" s="131" t="str" cm="1">
        <f t="array" ref="S23:T23">_xlfn.TEXTSPLIT(R23,".",)</f>
        <v>4</v>
      </c>
      <c r="T23" s="131" t="str">
        <v>75</v>
      </c>
      <c r="U23" s="15">
        <f t="shared" si="2"/>
        <v>320</v>
      </c>
      <c r="V23" s="15">
        <f t="shared" si="14"/>
        <v>25</v>
      </c>
      <c r="W23" s="14">
        <f t="shared" si="7"/>
        <v>25</v>
      </c>
      <c r="X23" s="15">
        <f t="shared" si="15"/>
        <v>100</v>
      </c>
      <c r="Y23" s="14">
        <f t="shared" si="8"/>
        <v>75</v>
      </c>
      <c r="Z23" s="32">
        <f t="shared" si="9"/>
        <v>0.33333333333333331</v>
      </c>
      <c r="AA23" s="14">
        <f t="shared" si="10"/>
        <v>0.3010299956639812</v>
      </c>
      <c r="AB23" s="33">
        <f t="shared" si="11"/>
        <v>0.10034333188799373</v>
      </c>
      <c r="AC23" s="33">
        <f t="shared" si="0"/>
        <v>2.5051499783199058</v>
      </c>
      <c r="AD23" s="33">
        <f t="shared" si="12"/>
        <v>2.6054933102078994</v>
      </c>
      <c r="AE23" s="34">
        <f t="shared" si="13"/>
        <v>403.17473596635921</v>
      </c>
      <c r="AF23" s="132">
        <f t="shared" si="5"/>
        <v>403.2</v>
      </c>
      <c r="AG23" s="15">
        <f t="shared" si="6"/>
        <v>403</v>
      </c>
    </row>
    <row r="24" spans="1:33" x14ac:dyDescent="0.2">
      <c r="A24" s="155" t="s">
        <v>195</v>
      </c>
      <c r="B24" s="16">
        <f>'MN layout (2x)'!C20</f>
        <v>17</v>
      </c>
      <c r="C24" s="17" t="str">
        <f>'MN layout (2x)'!A20</f>
        <v>1678-097_post_v3</v>
      </c>
      <c r="D24" s="11" t="str">
        <f>'MN layout (2x)'!B20</f>
        <v>1:20</v>
      </c>
      <c r="E24" s="18" t="s">
        <v>172</v>
      </c>
      <c r="F24" s="18" t="s">
        <v>172</v>
      </c>
      <c r="G24" s="18" t="s">
        <v>172</v>
      </c>
      <c r="H24" s="18" t="s">
        <v>172</v>
      </c>
      <c r="I24" s="18" t="s">
        <v>180</v>
      </c>
      <c r="J24" s="18" t="s">
        <v>181</v>
      </c>
      <c r="K24" s="18" t="s">
        <v>189</v>
      </c>
      <c r="L24" s="11" t="s">
        <v>174</v>
      </c>
      <c r="M24" s="11" t="s">
        <v>174</v>
      </c>
      <c r="N24" s="18" t="s">
        <v>184</v>
      </c>
      <c r="O24" s="11" t="s">
        <v>174</v>
      </c>
      <c r="P24" s="11" t="s">
        <v>172</v>
      </c>
      <c r="Q24" s="22" cm="1">
        <f t="array" ref="Q24">SUMPRODUCT(LEN(E24:N24)-LEN(SUBSTITUTE(E24:N24,"-","")))</f>
        <v>21</v>
      </c>
      <c r="R24" s="127">
        <f t="shared" si="1"/>
        <v>5.25</v>
      </c>
      <c r="S24" s="128" t="str" cm="1">
        <f t="array" ref="S24:T24">_xlfn.TEXTSPLIT(R24,".",)</f>
        <v>5</v>
      </c>
      <c r="T24" s="128" t="str">
        <v>25</v>
      </c>
      <c r="U24" s="12">
        <f t="shared" si="2"/>
        <v>320</v>
      </c>
      <c r="V24" s="12">
        <f t="shared" si="14"/>
        <v>0</v>
      </c>
      <c r="W24" s="22">
        <f t="shared" si="7"/>
        <v>50</v>
      </c>
      <c r="X24" s="12">
        <f t="shared" si="15"/>
        <v>75</v>
      </c>
      <c r="Y24" s="22">
        <f t="shared" si="8"/>
        <v>75</v>
      </c>
      <c r="Z24" s="19">
        <f t="shared" si="9"/>
        <v>0.66666666666666663</v>
      </c>
      <c r="AA24" s="22">
        <f t="shared" si="10"/>
        <v>0.3010299956639812</v>
      </c>
      <c r="AB24" s="20">
        <f t="shared" si="11"/>
        <v>0.20068666377598746</v>
      </c>
      <c r="AC24" s="20">
        <f t="shared" si="0"/>
        <v>2.5051499783199058</v>
      </c>
      <c r="AD24" s="20">
        <f t="shared" si="12"/>
        <v>2.7058366420958935</v>
      </c>
      <c r="AE24" s="21">
        <f t="shared" si="13"/>
        <v>507.96833662982436</v>
      </c>
      <c r="AF24" s="129">
        <f t="shared" si="5"/>
        <v>508</v>
      </c>
      <c r="AG24" s="12">
        <f t="shared" si="6"/>
        <v>508</v>
      </c>
    </row>
    <row r="25" spans="1:33" s="35" customFormat="1" x14ac:dyDescent="0.2">
      <c r="A25" s="155"/>
      <c r="B25" s="29">
        <f>'MN layout (2x)'!C21</f>
        <v>18</v>
      </c>
      <c r="C25" s="30" t="str">
        <f>'MN layout (2x)'!A21</f>
        <v>1678-044(101)_post_inf_visit</v>
      </c>
      <c r="D25" s="31" t="str">
        <f>'MN layout (2x)'!B21</f>
        <v>1:20</v>
      </c>
      <c r="E25" s="72" t="s">
        <v>172</v>
      </c>
      <c r="F25" s="72" t="s">
        <v>172</v>
      </c>
      <c r="G25" s="72" t="s">
        <v>172</v>
      </c>
      <c r="H25" s="72" t="s">
        <v>172</v>
      </c>
      <c r="I25" s="72" t="s">
        <v>172</v>
      </c>
      <c r="J25" s="72" t="s">
        <v>185</v>
      </c>
      <c r="K25" s="72" t="s">
        <v>189</v>
      </c>
      <c r="L25" s="31" t="s">
        <v>174</v>
      </c>
      <c r="M25" s="31" t="s">
        <v>174</v>
      </c>
      <c r="N25" s="72" t="s">
        <v>181</v>
      </c>
      <c r="O25" s="31" t="s">
        <v>174</v>
      </c>
      <c r="P25" s="31" t="s">
        <v>172</v>
      </c>
      <c r="Q25" s="14" cm="1">
        <f t="array" ref="Q25">SUMPRODUCT(LEN(E25:N25)-LEN(SUBSTITUTE(E25:N25,"-","")))</f>
        <v>25</v>
      </c>
      <c r="R25" s="130">
        <f t="shared" si="1"/>
        <v>6.25</v>
      </c>
      <c r="S25" s="131" t="str" cm="1">
        <f t="array" ref="S25:T25">_xlfn.TEXTSPLIT(R25,".",)</f>
        <v>6</v>
      </c>
      <c r="T25" s="131" t="str">
        <v>25</v>
      </c>
      <c r="U25" s="15">
        <f t="shared" si="2"/>
        <v>640</v>
      </c>
      <c r="V25" s="15">
        <f t="shared" si="14"/>
        <v>0</v>
      </c>
      <c r="W25" s="14">
        <f t="shared" si="7"/>
        <v>50</v>
      </c>
      <c r="X25" s="15">
        <f t="shared" si="15"/>
        <v>75</v>
      </c>
      <c r="Y25" s="14">
        <f t="shared" si="8"/>
        <v>75</v>
      </c>
      <c r="Z25" s="32">
        <f t="shared" si="9"/>
        <v>0.66666666666666663</v>
      </c>
      <c r="AA25" s="14">
        <f t="shared" si="10"/>
        <v>0.3010299956639812</v>
      </c>
      <c r="AB25" s="33">
        <f t="shared" si="11"/>
        <v>0.20068666377598746</v>
      </c>
      <c r="AC25" s="33">
        <f t="shared" si="0"/>
        <v>2.8061799739838871</v>
      </c>
      <c r="AD25" s="33">
        <f t="shared" si="12"/>
        <v>3.0068666377598747</v>
      </c>
      <c r="AE25" s="34">
        <f t="shared" si="13"/>
        <v>1015.9366732596487</v>
      </c>
      <c r="AF25" s="132">
        <f t="shared" si="5"/>
        <v>1015.9</v>
      </c>
      <c r="AG25" s="15">
        <f t="shared" si="6"/>
        <v>1016</v>
      </c>
    </row>
    <row r="26" spans="1:33" x14ac:dyDescent="0.2">
      <c r="A26" s="155" t="s">
        <v>196</v>
      </c>
      <c r="B26" s="16">
        <f>'MN layout (2x)'!C22</f>
        <v>19</v>
      </c>
      <c r="C26" s="17" t="str">
        <f>'MN layout (2x)'!A22</f>
        <v>1678-061(117)_post_inf_visit</v>
      </c>
      <c r="D26" s="11" t="str">
        <f>'MN layout (2x)'!B22</f>
        <v>1:20</v>
      </c>
      <c r="E26" s="18" t="s">
        <v>172</v>
      </c>
      <c r="F26" s="18" t="s">
        <v>172</v>
      </c>
      <c r="G26" s="18" t="s">
        <v>172</v>
      </c>
      <c r="H26" s="18" t="s">
        <v>179</v>
      </c>
      <c r="I26" s="18" t="s">
        <v>172</v>
      </c>
      <c r="J26" s="18" t="s">
        <v>179</v>
      </c>
      <c r="K26" s="11" t="s">
        <v>174</v>
      </c>
      <c r="L26" s="11" t="s">
        <v>174</v>
      </c>
      <c r="M26" s="11" t="s">
        <v>174</v>
      </c>
      <c r="N26" s="11" t="s">
        <v>174</v>
      </c>
      <c r="O26" s="11" t="s">
        <v>174</v>
      </c>
      <c r="P26" s="11" t="s">
        <v>172</v>
      </c>
      <c r="Q26" s="22" cm="1">
        <f t="array" ref="Q26">SUMPRODUCT(LEN(E26:N26)-LEN(SUBSTITUTE(E26:N26,"-","")))</f>
        <v>22</v>
      </c>
      <c r="R26" s="127">
        <f t="shared" si="1"/>
        <v>5.5</v>
      </c>
      <c r="S26" s="128" t="str" cm="1">
        <f t="array" ref="S26:T26">_xlfn.TEXTSPLIT(R26,".",)</f>
        <v>5</v>
      </c>
      <c r="T26" s="128" t="str">
        <v>5</v>
      </c>
      <c r="U26" s="12">
        <f t="shared" si="2"/>
        <v>640</v>
      </c>
      <c r="V26" s="12">
        <f t="shared" si="14"/>
        <v>50</v>
      </c>
      <c r="W26" s="22">
        <f t="shared" si="7"/>
        <v>0</v>
      </c>
      <c r="X26" s="12">
        <f t="shared" si="15"/>
        <v>100</v>
      </c>
      <c r="Y26" s="22">
        <f t="shared" si="8"/>
        <v>50</v>
      </c>
      <c r="Z26" s="19">
        <f t="shared" si="9"/>
        <v>0</v>
      </c>
      <c r="AA26" s="22">
        <f t="shared" si="10"/>
        <v>0.3010299956639812</v>
      </c>
      <c r="AB26" s="20">
        <f t="shared" si="11"/>
        <v>0</v>
      </c>
      <c r="AC26" s="20">
        <f t="shared" si="0"/>
        <v>2.8061799739838871</v>
      </c>
      <c r="AD26" s="20">
        <f t="shared" si="12"/>
        <v>2.8061799739838871</v>
      </c>
      <c r="AE26" s="21">
        <f t="shared" si="13"/>
        <v>640.00000000000045</v>
      </c>
      <c r="AF26" s="129">
        <f t="shared" si="5"/>
        <v>640</v>
      </c>
      <c r="AG26" s="12">
        <f t="shared" si="6"/>
        <v>640</v>
      </c>
    </row>
    <row r="27" spans="1:33" s="35" customFormat="1" x14ac:dyDescent="0.2">
      <c r="A27" s="155"/>
      <c r="B27" s="29">
        <f>'MN layout (2x)'!C23</f>
        <v>20</v>
      </c>
      <c r="C27" s="30" t="str">
        <f>'MN layout (2x)'!A23</f>
        <v>1678-066(122)_post_inf_visit</v>
      </c>
      <c r="D27" s="31" t="str">
        <f>'MN layout (2x)'!B23</f>
        <v>1:20</v>
      </c>
      <c r="E27" s="72" t="s">
        <v>172</v>
      </c>
      <c r="F27" s="72" t="s">
        <v>172</v>
      </c>
      <c r="G27" s="72" t="s">
        <v>172</v>
      </c>
      <c r="H27" s="72" t="s">
        <v>191</v>
      </c>
      <c r="I27" s="72" t="s">
        <v>176</v>
      </c>
      <c r="J27" s="72" t="s">
        <v>179</v>
      </c>
      <c r="K27" s="31" t="s">
        <v>174</v>
      </c>
      <c r="L27" s="31" t="s">
        <v>174</v>
      </c>
      <c r="M27" s="31" t="s">
        <v>174</v>
      </c>
      <c r="N27" s="31" t="s">
        <v>174</v>
      </c>
      <c r="O27" s="31" t="s">
        <v>174</v>
      </c>
      <c r="P27" s="31" t="s">
        <v>172</v>
      </c>
      <c r="Q27" s="14" cm="1">
        <f t="array" ref="Q27">SUMPRODUCT(LEN(E27:N27)-LEN(SUBSTITUTE(E27:N27,"-","")))</f>
        <v>20</v>
      </c>
      <c r="R27" s="130">
        <f t="shared" si="1"/>
        <v>5</v>
      </c>
      <c r="S27" s="131" t="str" cm="1">
        <f t="array" ref="S27">_xlfn.TEXTSPLIT(R27,".",)</f>
        <v>5</v>
      </c>
      <c r="T27" s="131"/>
      <c r="U27" s="15">
        <f t="shared" si="2"/>
        <v>320</v>
      </c>
      <c r="V27" s="15">
        <f t="shared" si="14"/>
        <v>0</v>
      </c>
      <c r="W27" s="14">
        <f t="shared" si="7"/>
        <v>50</v>
      </c>
      <c r="X27" s="15">
        <f t="shared" si="15"/>
        <v>100</v>
      </c>
      <c r="Y27" s="14">
        <f t="shared" si="8"/>
        <v>100</v>
      </c>
      <c r="Z27" s="32">
        <f t="shared" si="9"/>
        <v>0.5</v>
      </c>
      <c r="AA27" s="14">
        <f t="shared" si="10"/>
        <v>0.3010299956639812</v>
      </c>
      <c r="AB27" s="33">
        <f t="shared" si="11"/>
        <v>0.1505149978319906</v>
      </c>
      <c r="AC27" s="33">
        <f t="shared" si="0"/>
        <v>2.5051499783199058</v>
      </c>
      <c r="AD27" s="33">
        <f t="shared" si="12"/>
        <v>2.6556649761518965</v>
      </c>
      <c r="AE27" s="34">
        <f t="shared" si="13"/>
        <v>452.54833995939072</v>
      </c>
      <c r="AF27" s="132">
        <f t="shared" si="5"/>
        <v>452.5</v>
      </c>
      <c r="AG27" s="15">
        <f t="shared" si="6"/>
        <v>453</v>
      </c>
    </row>
    <row r="28" spans="1:33" x14ac:dyDescent="0.2">
      <c r="A28" s="155" t="s">
        <v>197</v>
      </c>
      <c r="B28" s="16">
        <f>'MN layout (2x)'!C24</f>
        <v>21</v>
      </c>
      <c r="C28" s="17" t="str">
        <f>'MN layout (2x)'!A24</f>
        <v>1678-070(126)_post_inf_visit</v>
      </c>
      <c r="D28" s="11" t="str">
        <f>'MN layout (2x)'!B24</f>
        <v>1:20</v>
      </c>
      <c r="E28" s="18" t="s">
        <v>172</v>
      </c>
      <c r="F28" s="18" t="s">
        <v>172</v>
      </c>
      <c r="G28" s="18" t="s">
        <v>172</v>
      </c>
      <c r="H28" s="18" t="s">
        <v>172</v>
      </c>
      <c r="I28" s="18" t="s">
        <v>175</v>
      </c>
      <c r="J28" s="18" t="s">
        <v>180</v>
      </c>
      <c r="K28" s="11" t="s">
        <v>174</v>
      </c>
      <c r="L28" s="11" t="s">
        <v>174</v>
      </c>
      <c r="M28" s="11" t="s">
        <v>174</v>
      </c>
      <c r="N28" s="11" t="s">
        <v>174</v>
      </c>
      <c r="O28" s="11" t="s">
        <v>174</v>
      </c>
      <c r="P28" s="11" t="s">
        <v>172</v>
      </c>
      <c r="Q28" s="22" cm="1">
        <f t="array" ref="Q28">SUMPRODUCT(LEN(E28:N28)-LEN(SUBSTITUTE(E28:N28,"-","")))</f>
        <v>21</v>
      </c>
      <c r="R28" s="127">
        <f t="shared" si="1"/>
        <v>5.25</v>
      </c>
      <c r="S28" s="128" t="str" cm="1">
        <f t="array" ref="S28:T28">_xlfn.TEXTSPLIT(R28,".",)</f>
        <v>5</v>
      </c>
      <c r="T28" s="128" t="str">
        <v>25</v>
      </c>
      <c r="U28" s="12">
        <f t="shared" si="2"/>
        <v>320</v>
      </c>
      <c r="V28" s="12">
        <f t="shared" si="14"/>
        <v>0</v>
      </c>
      <c r="W28" s="22">
        <f t="shared" si="7"/>
        <v>50</v>
      </c>
      <c r="X28" s="12">
        <f t="shared" si="15"/>
        <v>75</v>
      </c>
      <c r="Y28" s="22">
        <f t="shared" si="8"/>
        <v>75</v>
      </c>
      <c r="Z28" s="19">
        <f t="shared" si="9"/>
        <v>0.66666666666666663</v>
      </c>
      <c r="AA28" s="22">
        <f t="shared" si="10"/>
        <v>0.3010299956639812</v>
      </c>
      <c r="AB28" s="20">
        <f t="shared" si="11"/>
        <v>0.20068666377598746</v>
      </c>
      <c r="AC28" s="20">
        <f t="shared" si="0"/>
        <v>2.5051499783199058</v>
      </c>
      <c r="AD28" s="20">
        <f t="shared" si="12"/>
        <v>2.7058366420958935</v>
      </c>
      <c r="AE28" s="21">
        <f t="shared" si="13"/>
        <v>507.96833662982436</v>
      </c>
      <c r="AF28" s="129">
        <f t="shared" si="5"/>
        <v>508</v>
      </c>
      <c r="AG28" s="12">
        <f t="shared" si="6"/>
        <v>508</v>
      </c>
    </row>
    <row r="29" spans="1:33" s="35" customFormat="1" x14ac:dyDescent="0.2">
      <c r="A29" s="155"/>
      <c r="B29" s="29">
        <f>'MN layout (2x)'!C25</f>
        <v>22</v>
      </c>
      <c r="C29" s="30" t="str">
        <f>'MN layout (2x)'!A25</f>
        <v>1678-078(037)_post_inf_visit</v>
      </c>
      <c r="D29" s="31" t="str">
        <f>'MN layout (2x)'!B25</f>
        <v>1:20</v>
      </c>
      <c r="E29" s="72" t="s">
        <v>172</v>
      </c>
      <c r="F29" s="72" t="s">
        <v>172</v>
      </c>
      <c r="G29" s="72" t="s">
        <v>172</v>
      </c>
      <c r="H29" s="72" t="s">
        <v>175</v>
      </c>
      <c r="I29" s="72" t="s">
        <v>177</v>
      </c>
      <c r="J29" s="72" t="s">
        <v>173</v>
      </c>
      <c r="K29" s="31" t="s">
        <v>174</v>
      </c>
      <c r="L29" s="31" t="s">
        <v>174</v>
      </c>
      <c r="M29" s="31" t="s">
        <v>174</v>
      </c>
      <c r="N29" s="31" t="s">
        <v>174</v>
      </c>
      <c r="O29" s="31" t="s">
        <v>174</v>
      </c>
      <c r="P29" s="31" t="s">
        <v>172</v>
      </c>
      <c r="Q29" s="14" cm="1">
        <f t="array" ref="Q29">SUMPRODUCT(LEN(E29:N29)-LEN(SUBSTITUTE(E29:N29,"-","")))</f>
        <v>18</v>
      </c>
      <c r="R29" s="130">
        <f t="shared" si="1"/>
        <v>4.5</v>
      </c>
      <c r="S29" s="131" t="str" cm="1">
        <f t="array" ref="S29:T29">_xlfn.TEXTSPLIT(R29,".",)</f>
        <v>4</v>
      </c>
      <c r="T29" s="131" t="str">
        <v>5</v>
      </c>
      <c r="U29" s="15">
        <f t="shared" si="2"/>
        <v>320</v>
      </c>
      <c r="V29" s="15">
        <f t="shared" si="14"/>
        <v>50</v>
      </c>
      <c r="W29" s="14">
        <f t="shared" si="7"/>
        <v>0</v>
      </c>
      <c r="X29" s="15">
        <f t="shared" si="15"/>
        <v>100</v>
      </c>
      <c r="Y29" s="14">
        <f t="shared" si="8"/>
        <v>50</v>
      </c>
      <c r="Z29" s="32">
        <f t="shared" si="9"/>
        <v>0</v>
      </c>
      <c r="AA29" s="14">
        <f t="shared" si="10"/>
        <v>0.3010299956639812</v>
      </c>
      <c r="AB29" s="33">
        <f t="shared" si="11"/>
        <v>0</v>
      </c>
      <c r="AC29" s="33">
        <f t="shared" si="0"/>
        <v>2.5051499783199058</v>
      </c>
      <c r="AD29" s="33">
        <f t="shared" si="12"/>
        <v>2.5051499783199058</v>
      </c>
      <c r="AE29" s="34">
        <f t="shared" si="13"/>
        <v>319.99999999999994</v>
      </c>
      <c r="AF29" s="132">
        <f t="shared" si="5"/>
        <v>320</v>
      </c>
      <c r="AG29" s="15">
        <f t="shared" si="6"/>
        <v>320</v>
      </c>
    </row>
    <row r="30" spans="1:33" x14ac:dyDescent="0.2">
      <c r="A30" s="155" t="s">
        <v>198</v>
      </c>
      <c r="B30" s="16">
        <f>'MN layout (2x)'!C26</f>
        <v>23</v>
      </c>
      <c r="C30" s="17" t="str">
        <f>'MN layout (2x)'!A26</f>
        <v>1678-090(144)_post_inf_visit</v>
      </c>
      <c r="D30" s="11" t="str">
        <f>'MN layout (2x)'!B26</f>
        <v>1:20</v>
      </c>
      <c r="E30" s="18" t="s">
        <v>172</v>
      </c>
      <c r="F30" s="18" t="s">
        <v>172</v>
      </c>
      <c r="G30" s="18" t="s">
        <v>172</v>
      </c>
      <c r="H30" s="18" t="s">
        <v>172</v>
      </c>
      <c r="I30" s="18" t="s">
        <v>172</v>
      </c>
      <c r="J30" s="18" t="s">
        <v>177</v>
      </c>
      <c r="K30" s="18" t="s">
        <v>181</v>
      </c>
      <c r="L30" s="18" t="s">
        <v>173</v>
      </c>
      <c r="M30" s="11" t="s">
        <v>174</v>
      </c>
      <c r="N30" s="11" t="s">
        <v>174</v>
      </c>
      <c r="O30" s="11" t="s">
        <v>174</v>
      </c>
      <c r="P30" s="11" t="s">
        <v>172</v>
      </c>
      <c r="Q30" s="22" cm="1">
        <f t="array" ref="Q30">SUMPRODUCT(LEN(E30:N30)-LEN(SUBSTITUTE(E30:N30,"-","")))</f>
        <v>24</v>
      </c>
      <c r="R30" s="127">
        <f t="shared" si="1"/>
        <v>6</v>
      </c>
      <c r="S30" s="128" t="str" cm="1">
        <f t="array" ref="S30">_xlfn.TEXTSPLIT(R30,".",)</f>
        <v>6</v>
      </c>
      <c r="T30" s="128"/>
      <c r="U30" s="12">
        <f t="shared" si="2"/>
        <v>640</v>
      </c>
      <c r="V30" s="12">
        <f t="shared" si="14"/>
        <v>0</v>
      </c>
      <c r="W30" s="22">
        <f t="shared" si="7"/>
        <v>50</v>
      </c>
      <c r="X30" s="12">
        <f t="shared" si="15"/>
        <v>100</v>
      </c>
      <c r="Y30" s="22">
        <f t="shared" si="8"/>
        <v>100</v>
      </c>
      <c r="Z30" s="19">
        <f t="shared" si="9"/>
        <v>0.5</v>
      </c>
      <c r="AA30" s="22">
        <f t="shared" si="10"/>
        <v>0.3010299956639812</v>
      </c>
      <c r="AB30" s="20">
        <f t="shared" si="11"/>
        <v>0.1505149978319906</v>
      </c>
      <c r="AC30" s="20">
        <f t="shared" si="0"/>
        <v>2.8061799739838871</v>
      </c>
      <c r="AD30" s="20">
        <f t="shared" si="12"/>
        <v>2.9566949718158777</v>
      </c>
      <c r="AE30" s="21">
        <f t="shared" si="13"/>
        <v>905.09667991878155</v>
      </c>
      <c r="AF30" s="129">
        <f t="shared" si="5"/>
        <v>905.1</v>
      </c>
      <c r="AG30" s="12">
        <f t="shared" si="6"/>
        <v>905</v>
      </c>
    </row>
    <row r="31" spans="1:33" s="35" customFormat="1" x14ac:dyDescent="0.2">
      <c r="A31" s="155"/>
      <c r="B31" s="29">
        <f>'MN layout (2x)'!C27</f>
        <v>24</v>
      </c>
      <c r="C31" s="30" t="str">
        <f>'MN layout (2x)'!A27</f>
        <v>1678-091(145)_post_inf_visit</v>
      </c>
      <c r="D31" s="31" t="str">
        <f>'MN layout (2x)'!B27</f>
        <v>1:20</v>
      </c>
      <c r="E31" s="72" t="s">
        <v>172</v>
      </c>
      <c r="F31" s="72" t="s">
        <v>172</v>
      </c>
      <c r="G31" s="72" t="s">
        <v>172</v>
      </c>
      <c r="H31" s="72" t="s">
        <v>172</v>
      </c>
      <c r="I31" s="72" t="s">
        <v>176</v>
      </c>
      <c r="J31" s="31" t="s">
        <v>174</v>
      </c>
      <c r="K31" s="72" t="s">
        <v>189</v>
      </c>
      <c r="L31" s="31" t="s">
        <v>174</v>
      </c>
      <c r="M31" s="31" t="s">
        <v>174</v>
      </c>
      <c r="N31" s="31" t="s">
        <v>174</v>
      </c>
      <c r="O31" s="31" t="s">
        <v>174</v>
      </c>
      <c r="P31" s="31" t="s">
        <v>172</v>
      </c>
      <c r="Q31" s="14" cm="1">
        <f t="array" ref="Q31">SUMPRODUCT(LEN(E31:N31)-LEN(SUBSTITUTE(E31:N31,"-","")))</f>
        <v>20</v>
      </c>
      <c r="R31" s="130">
        <f t="shared" si="1"/>
        <v>5</v>
      </c>
      <c r="S31" s="131" t="str" cm="1">
        <f t="array" ref="S31">_xlfn.TEXTSPLIT(R31,".",)</f>
        <v>5</v>
      </c>
      <c r="T31" s="131"/>
      <c r="U31" s="15">
        <f t="shared" si="2"/>
        <v>320</v>
      </c>
      <c r="V31" s="15">
        <f t="shared" si="14"/>
        <v>0</v>
      </c>
      <c r="W31" s="14">
        <f t="shared" si="7"/>
        <v>50</v>
      </c>
      <c r="X31" s="15">
        <f t="shared" si="15"/>
        <v>100</v>
      </c>
      <c r="Y31" s="14">
        <f t="shared" si="8"/>
        <v>100</v>
      </c>
      <c r="Z31" s="32">
        <f t="shared" si="9"/>
        <v>0.5</v>
      </c>
      <c r="AA31" s="14">
        <f t="shared" si="10"/>
        <v>0.3010299956639812</v>
      </c>
      <c r="AB31" s="33">
        <f t="shared" si="11"/>
        <v>0.1505149978319906</v>
      </c>
      <c r="AC31" s="33">
        <f t="shared" si="0"/>
        <v>2.5051499783199058</v>
      </c>
      <c r="AD31" s="33">
        <f t="shared" si="12"/>
        <v>2.6556649761518965</v>
      </c>
      <c r="AE31" s="34">
        <f t="shared" si="13"/>
        <v>452.54833995939072</v>
      </c>
      <c r="AF31" s="132">
        <f t="shared" si="5"/>
        <v>452.5</v>
      </c>
      <c r="AG31" s="15">
        <f t="shared" si="6"/>
        <v>453</v>
      </c>
    </row>
    <row r="32" spans="1:33" x14ac:dyDescent="0.2">
      <c r="A32" s="155" t="s">
        <v>199</v>
      </c>
      <c r="B32" s="16">
        <f>'MN layout (2x)'!C28</f>
        <v>25</v>
      </c>
      <c r="C32" s="17" t="str">
        <f>'MN layout (2x)'!A28</f>
        <v>1678-095(149)_post_inf_visit</v>
      </c>
      <c r="D32" s="11" t="str">
        <f>'MN layout (2x)'!B28</f>
        <v>1:20</v>
      </c>
      <c r="E32" s="18" t="s">
        <v>172</v>
      </c>
      <c r="F32" s="18" t="s">
        <v>172</v>
      </c>
      <c r="G32" s="18" t="s">
        <v>172</v>
      </c>
      <c r="H32" s="18" t="s">
        <v>172</v>
      </c>
      <c r="I32" s="18" t="s">
        <v>172</v>
      </c>
      <c r="J32" s="11" t="s">
        <v>174</v>
      </c>
      <c r="K32" s="11" t="s">
        <v>174</v>
      </c>
      <c r="L32" s="11" t="s">
        <v>174</v>
      </c>
      <c r="M32" s="11" t="s">
        <v>174</v>
      </c>
      <c r="N32" s="11" t="s">
        <v>174</v>
      </c>
      <c r="O32" s="11" t="s">
        <v>174</v>
      </c>
      <c r="P32" s="11" t="s">
        <v>172</v>
      </c>
      <c r="Q32" s="22" cm="1">
        <f t="array" ref="Q32">SUMPRODUCT(LEN(E32:N32)-LEN(SUBSTITUTE(E32:N32,"-","")))</f>
        <v>20</v>
      </c>
      <c r="R32" s="127">
        <f t="shared" si="1"/>
        <v>5</v>
      </c>
      <c r="S32" s="128" t="str" cm="1">
        <f t="array" ref="S32">_xlfn.TEXTSPLIT(R32,".",)</f>
        <v>5</v>
      </c>
      <c r="T32" s="128"/>
      <c r="U32" s="12">
        <f t="shared" si="2"/>
        <v>320</v>
      </c>
      <c r="V32" s="12">
        <f t="shared" si="14"/>
        <v>0</v>
      </c>
      <c r="W32" s="22">
        <f t="shared" si="7"/>
        <v>50</v>
      </c>
      <c r="X32" s="12">
        <f t="shared" si="15"/>
        <v>100</v>
      </c>
      <c r="Y32" s="22">
        <f t="shared" si="8"/>
        <v>100</v>
      </c>
      <c r="Z32" s="19">
        <f t="shared" si="9"/>
        <v>0.5</v>
      </c>
      <c r="AA32" s="22">
        <f t="shared" si="10"/>
        <v>0.3010299956639812</v>
      </c>
      <c r="AB32" s="20">
        <f t="shared" si="11"/>
        <v>0.1505149978319906</v>
      </c>
      <c r="AC32" s="20">
        <f t="shared" si="0"/>
        <v>2.5051499783199058</v>
      </c>
      <c r="AD32" s="20">
        <f t="shared" si="12"/>
        <v>2.6556649761518965</v>
      </c>
      <c r="AE32" s="21">
        <f t="shared" si="13"/>
        <v>452.54833995939072</v>
      </c>
      <c r="AF32" s="129">
        <f t="shared" si="5"/>
        <v>452.5</v>
      </c>
      <c r="AG32" s="12">
        <f t="shared" si="6"/>
        <v>453</v>
      </c>
    </row>
    <row r="33" spans="1:33" s="35" customFormat="1" x14ac:dyDescent="0.2">
      <c r="A33" s="155"/>
      <c r="B33" s="29">
        <f>'MN layout (2x)'!C29</f>
        <v>26</v>
      </c>
      <c r="C33" s="30" t="str">
        <f>'MN layout (2x)'!A29</f>
        <v>1678-099(153)_post_inf_visit</v>
      </c>
      <c r="D33" s="31" t="str">
        <f>'MN layout (2x)'!B29</f>
        <v>1:20</v>
      </c>
      <c r="E33" s="72" t="s">
        <v>172</v>
      </c>
      <c r="F33" s="72" t="s">
        <v>172</v>
      </c>
      <c r="G33" s="72" t="s">
        <v>172</v>
      </c>
      <c r="H33" s="72" t="s">
        <v>172</v>
      </c>
      <c r="I33" s="72" t="s">
        <v>172</v>
      </c>
      <c r="J33" s="72" t="s">
        <v>175</v>
      </c>
      <c r="K33" s="72" t="s">
        <v>181</v>
      </c>
      <c r="L33" s="31" t="s">
        <v>174</v>
      </c>
      <c r="M33" s="31" t="s">
        <v>174</v>
      </c>
      <c r="N33" s="72" t="s">
        <v>184</v>
      </c>
      <c r="O33" s="31" t="s">
        <v>174</v>
      </c>
      <c r="P33" s="31" t="s">
        <v>172</v>
      </c>
      <c r="Q33" s="14" cm="1">
        <f t="array" ref="Q33">SUMPRODUCT(LEN(E33:N33)-LEN(SUBSTITUTE(E33:N33,"-","")))</f>
        <v>25</v>
      </c>
      <c r="R33" s="130">
        <f t="shared" si="1"/>
        <v>6.25</v>
      </c>
      <c r="S33" s="131" t="str" cm="1">
        <f t="array" ref="S33:T33">_xlfn.TEXTSPLIT(R33,".",)</f>
        <v>6</v>
      </c>
      <c r="T33" s="131" t="str">
        <v>25</v>
      </c>
      <c r="U33" s="15">
        <f t="shared" si="2"/>
        <v>640</v>
      </c>
      <c r="V33" s="15">
        <f t="shared" si="14"/>
        <v>0</v>
      </c>
      <c r="W33" s="14">
        <f t="shared" si="7"/>
        <v>50</v>
      </c>
      <c r="X33" s="15">
        <f t="shared" si="15"/>
        <v>75</v>
      </c>
      <c r="Y33" s="14">
        <f t="shared" si="8"/>
        <v>75</v>
      </c>
      <c r="Z33" s="32">
        <f t="shared" si="9"/>
        <v>0.66666666666666663</v>
      </c>
      <c r="AA33" s="14">
        <f t="shared" si="10"/>
        <v>0.3010299956639812</v>
      </c>
      <c r="AB33" s="33">
        <f t="shared" si="11"/>
        <v>0.20068666377598746</v>
      </c>
      <c r="AC33" s="33">
        <f t="shared" si="0"/>
        <v>2.8061799739838871</v>
      </c>
      <c r="AD33" s="33">
        <f t="shared" si="12"/>
        <v>3.0068666377598747</v>
      </c>
      <c r="AE33" s="34">
        <f t="shared" si="13"/>
        <v>1015.9366732596487</v>
      </c>
      <c r="AF33" s="132">
        <f t="shared" si="5"/>
        <v>1015.9</v>
      </c>
      <c r="AG33" s="15">
        <f t="shared" si="6"/>
        <v>1016</v>
      </c>
    </row>
    <row r="34" spans="1:33" x14ac:dyDescent="0.2">
      <c r="A34" s="155" t="s">
        <v>200</v>
      </c>
      <c r="B34" s="16">
        <f>'MN layout (2x)'!C30</f>
        <v>27</v>
      </c>
      <c r="C34" s="17" t="str">
        <f>'MN layout (2x)'!A30</f>
        <v>1678-SM_post_inf_visit</v>
      </c>
      <c r="D34" s="11" t="str">
        <f>'MN layout (2x)'!B30</f>
        <v>1:20</v>
      </c>
      <c r="E34" s="18" t="s">
        <v>172</v>
      </c>
      <c r="F34" s="18" t="s">
        <v>172</v>
      </c>
      <c r="G34" s="18" t="s">
        <v>175</v>
      </c>
      <c r="H34" s="18" t="s">
        <v>175</v>
      </c>
      <c r="I34" s="18" t="s">
        <v>189</v>
      </c>
      <c r="J34" s="18" t="s">
        <v>191</v>
      </c>
      <c r="K34" s="11" t="s">
        <v>174</v>
      </c>
      <c r="L34" s="18" t="s">
        <v>181</v>
      </c>
      <c r="M34" s="11" t="s">
        <v>174</v>
      </c>
      <c r="N34" s="11" t="s">
        <v>174</v>
      </c>
      <c r="O34" s="11" t="s">
        <v>174</v>
      </c>
      <c r="P34" s="11" t="s">
        <v>172</v>
      </c>
      <c r="Q34" s="22" cm="1">
        <f t="array" ref="Q34">SUMPRODUCT(LEN(E34:N34)-LEN(SUBSTITUTE(E34:N34,"-","")))</f>
        <v>18</v>
      </c>
      <c r="R34" s="127">
        <f t="shared" si="1"/>
        <v>4.5</v>
      </c>
      <c r="S34" s="128" t="str" cm="1">
        <f t="array" ref="S34:T34">_xlfn.TEXTSPLIT(R34,".",)</f>
        <v>4</v>
      </c>
      <c r="T34" s="128" t="str">
        <v>5</v>
      </c>
      <c r="U34" s="12">
        <f t="shared" si="2"/>
        <v>320</v>
      </c>
      <c r="V34" s="12">
        <f t="shared" si="14"/>
        <v>50</v>
      </c>
      <c r="W34" s="22">
        <f t="shared" si="7"/>
        <v>0</v>
      </c>
      <c r="X34" s="12">
        <f t="shared" si="15"/>
        <v>100</v>
      </c>
      <c r="Y34" s="22">
        <f t="shared" si="8"/>
        <v>50</v>
      </c>
      <c r="Z34" s="19">
        <f t="shared" si="9"/>
        <v>0</v>
      </c>
      <c r="AA34" s="22">
        <f t="shared" si="10"/>
        <v>0.3010299956639812</v>
      </c>
      <c r="AB34" s="20">
        <f t="shared" si="11"/>
        <v>0</v>
      </c>
      <c r="AC34" s="20">
        <f t="shared" si="0"/>
        <v>2.5051499783199058</v>
      </c>
      <c r="AD34" s="20">
        <f t="shared" si="12"/>
        <v>2.5051499783199058</v>
      </c>
      <c r="AE34" s="21">
        <f t="shared" si="13"/>
        <v>319.99999999999994</v>
      </c>
      <c r="AF34" s="129">
        <f t="shared" si="5"/>
        <v>320</v>
      </c>
      <c r="AG34" s="12">
        <f t="shared" si="6"/>
        <v>320</v>
      </c>
    </row>
    <row r="35" spans="1:33" s="35" customFormat="1" x14ac:dyDescent="0.2">
      <c r="A35" s="155"/>
      <c r="B35" s="29">
        <f>'MN layout (2x)'!C31</f>
        <v>28</v>
      </c>
      <c r="C35" s="30" t="str">
        <f>'MN layout (2x)'!A31</f>
        <v>NIBSC 21/338</v>
      </c>
      <c r="D35" s="31" t="str">
        <f>'MN layout (2x)'!B31</f>
        <v>1:20</v>
      </c>
      <c r="E35" s="72" t="s">
        <v>172</v>
      </c>
      <c r="F35" s="72" t="s">
        <v>172</v>
      </c>
      <c r="G35" s="72" t="s">
        <v>172</v>
      </c>
      <c r="H35" s="72" t="s">
        <v>172</v>
      </c>
      <c r="I35" s="72" t="s">
        <v>172</v>
      </c>
      <c r="J35" s="72" t="s">
        <v>172</v>
      </c>
      <c r="K35" s="72" t="s">
        <v>191</v>
      </c>
      <c r="L35" s="72" t="s">
        <v>189</v>
      </c>
      <c r="M35" s="31" t="s">
        <v>174</v>
      </c>
      <c r="N35" s="72" t="s">
        <v>184</v>
      </c>
      <c r="O35" s="31" t="s">
        <v>174</v>
      </c>
      <c r="P35" s="31" t="s">
        <v>172</v>
      </c>
      <c r="Q35" s="14" cm="1">
        <f t="array" ref="Q35">SUMPRODUCT(LEN(E35:N35)-LEN(SUBSTITUTE(E35:N35,"-","")))</f>
        <v>28</v>
      </c>
      <c r="R35" s="130">
        <f t="shared" si="1"/>
        <v>7</v>
      </c>
      <c r="S35" s="131" t="str" cm="1">
        <f t="array" ref="S35">_xlfn.TEXTSPLIT(R35,".",)</f>
        <v>7</v>
      </c>
      <c r="T35" s="131"/>
      <c r="U35" s="15">
        <f t="shared" si="2"/>
        <v>1280</v>
      </c>
      <c r="V35" s="15">
        <f t="shared" si="14"/>
        <v>0</v>
      </c>
      <c r="W35" s="14">
        <f t="shared" si="7"/>
        <v>50</v>
      </c>
      <c r="X35" s="15">
        <f t="shared" si="15"/>
        <v>100</v>
      </c>
      <c r="Y35" s="14">
        <f t="shared" si="8"/>
        <v>100</v>
      </c>
      <c r="Z35" s="32">
        <f t="shared" si="9"/>
        <v>0.5</v>
      </c>
      <c r="AA35" s="14">
        <f t="shared" si="10"/>
        <v>0.3010299956639812</v>
      </c>
      <c r="AB35" s="33">
        <f t="shared" si="11"/>
        <v>0.1505149978319906</v>
      </c>
      <c r="AC35" s="33">
        <f t="shared" si="0"/>
        <v>3.1072099696478683</v>
      </c>
      <c r="AD35" s="33">
        <f t="shared" si="12"/>
        <v>3.257724967479859</v>
      </c>
      <c r="AE35" s="34">
        <f t="shared" si="13"/>
        <v>1810.1933598375633</v>
      </c>
      <c r="AF35" s="132">
        <f t="shared" si="5"/>
        <v>1810.2</v>
      </c>
      <c r="AG35" s="15">
        <f t="shared" si="6"/>
        <v>1810</v>
      </c>
    </row>
    <row r="36" spans="1:33" x14ac:dyDescent="0.2">
      <c r="A36" s="155" t="s">
        <v>201</v>
      </c>
      <c r="B36" s="16">
        <f>'MN layout (2x)'!C32</f>
        <v>29</v>
      </c>
      <c r="C36" s="17" t="str">
        <f>'MN layout (2x)'!A32</f>
        <v>NIBSC 20/142</v>
      </c>
      <c r="D36" s="11" t="str">
        <f>'MN layout (2x)'!B32</f>
        <v>1:20</v>
      </c>
      <c r="E36" s="18" t="s">
        <v>174</v>
      </c>
      <c r="F36" s="11" t="s">
        <v>174</v>
      </c>
      <c r="G36" s="11" t="s">
        <v>174</v>
      </c>
      <c r="H36" s="11" t="s">
        <v>174</v>
      </c>
      <c r="I36" s="11" t="s">
        <v>174</v>
      </c>
      <c r="J36" s="11" t="s">
        <v>174</v>
      </c>
      <c r="K36" s="11" t="s">
        <v>174</v>
      </c>
      <c r="L36" s="11" t="s">
        <v>174</v>
      </c>
      <c r="M36" s="11" t="s">
        <v>174</v>
      </c>
      <c r="N36" s="11" t="s">
        <v>174</v>
      </c>
      <c r="O36" s="11" t="s">
        <v>174</v>
      </c>
      <c r="P36" s="11" t="s">
        <v>172</v>
      </c>
      <c r="Q36" s="22" cm="1">
        <f t="array" ref="Q36">SUMPRODUCT(LEN(E36:N36)-LEN(SUBSTITUTE(E36:N36,"-","")))</f>
        <v>0</v>
      </c>
      <c r="R36" s="127">
        <f t="shared" si="1"/>
        <v>0</v>
      </c>
      <c r="S36" s="128" t="str" cm="1">
        <f t="array" ref="S36">_xlfn.TEXTSPLIT(R36,".",)</f>
        <v>0</v>
      </c>
      <c r="T36" s="128"/>
      <c r="U36" s="12">
        <f t="shared" si="2"/>
        <v>10</v>
      </c>
      <c r="V36" s="12">
        <f t="shared" si="14"/>
        <v>0</v>
      </c>
      <c r="W36" s="22">
        <f t="shared" si="7"/>
        <v>50</v>
      </c>
      <c r="X36" s="12">
        <f t="shared" si="15"/>
        <v>100</v>
      </c>
      <c r="Y36" s="22">
        <f t="shared" si="8"/>
        <v>100</v>
      </c>
      <c r="Z36" s="19">
        <f t="shared" si="9"/>
        <v>0.5</v>
      </c>
      <c r="AA36" s="22">
        <f t="shared" si="10"/>
        <v>0.3010299956639812</v>
      </c>
      <c r="AB36" s="20">
        <f t="shared" si="11"/>
        <v>0.1505149978319906</v>
      </c>
      <c r="AC36" s="20">
        <f t="shared" si="0"/>
        <v>1</v>
      </c>
      <c r="AD36" s="20">
        <f t="shared" si="12"/>
        <v>1.1505149978319906</v>
      </c>
      <c r="AE36" s="21">
        <f t="shared" si="13"/>
        <v>14.142135623730955</v>
      </c>
      <c r="AF36" s="129">
        <f t="shared" si="5"/>
        <v>14.1</v>
      </c>
      <c r="AG36" s="12" t="str">
        <f t="shared" si="6"/>
        <v>&lt;20</v>
      </c>
    </row>
    <row r="37" spans="1:33" s="35" customFormat="1" x14ac:dyDescent="0.2">
      <c r="A37" s="155"/>
      <c r="B37" s="29">
        <f>'MN layout (2x)'!C33</f>
        <v>30</v>
      </c>
      <c r="C37" s="30" t="str">
        <f>'MN layout (2x)'!A33</f>
        <v>Neg 4</v>
      </c>
      <c r="D37" s="31" t="str">
        <f>'MN layout (2x)'!B33</f>
        <v>1:20</v>
      </c>
      <c r="E37" s="72" t="s">
        <v>174</v>
      </c>
      <c r="F37" s="72" t="s">
        <v>189</v>
      </c>
      <c r="G37" s="31" t="s">
        <v>174</v>
      </c>
      <c r="H37" s="31" t="s">
        <v>174</v>
      </c>
      <c r="I37" s="31" t="s">
        <v>174</v>
      </c>
      <c r="J37" s="31" t="s">
        <v>174</v>
      </c>
      <c r="K37" s="31" t="s">
        <v>174</v>
      </c>
      <c r="L37" s="31" t="s">
        <v>174</v>
      </c>
      <c r="M37" s="31" t="s">
        <v>174</v>
      </c>
      <c r="N37" s="31" t="s">
        <v>174</v>
      </c>
      <c r="O37" s="31" t="s">
        <v>174</v>
      </c>
      <c r="P37" s="31" t="s">
        <v>172</v>
      </c>
      <c r="Q37" s="14" cm="1">
        <f t="array" ref="Q37">SUMPRODUCT(LEN(E37:N37)-LEN(SUBSTITUTE(E37:N37,"-","")))</f>
        <v>1</v>
      </c>
      <c r="R37" s="130">
        <f t="shared" si="1"/>
        <v>0.25</v>
      </c>
      <c r="S37" s="131" t="str" cm="1">
        <f t="array" ref="S37:T37">_xlfn.TEXTSPLIT(R37,".",)</f>
        <v>0</v>
      </c>
      <c r="T37" s="131" t="str">
        <v>25</v>
      </c>
      <c r="U37" s="15">
        <f t="shared" si="2"/>
        <v>10</v>
      </c>
      <c r="V37" s="15">
        <f t="shared" si="14"/>
        <v>0</v>
      </c>
      <c r="W37" s="14">
        <f t="shared" si="7"/>
        <v>50</v>
      </c>
      <c r="X37" s="15">
        <f t="shared" si="15"/>
        <v>75</v>
      </c>
      <c r="Y37" s="14">
        <f t="shared" si="8"/>
        <v>75</v>
      </c>
      <c r="Z37" s="32">
        <f t="shared" si="9"/>
        <v>0.66666666666666663</v>
      </c>
      <c r="AA37" s="14">
        <f t="shared" si="10"/>
        <v>0.3010299956639812</v>
      </c>
      <c r="AB37" s="33">
        <f t="shared" si="11"/>
        <v>0.20068666377598746</v>
      </c>
      <c r="AC37" s="33">
        <f t="shared" si="0"/>
        <v>1</v>
      </c>
      <c r="AD37" s="33">
        <f t="shared" si="12"/>
        <v>1.2006866637759874</v>
      </c>
      <c r="AE37" s="34">
        <f t="shared" si="13"/>
        <v>15.874010519681997</v>
      </c>
      <c r="AF37" s="132">
        <f t="shared" si="5"/>
        <v>15.9</v>
      </c>
      <c r="AG37" s="15" t="str">
        <f t="shared" si="6"/>
        <v>&lt;20</v>
      </c>
    </row>
    <row r="38" spans="1:33" x14ac:dyDescent="0.2">
      <c r="B38" s="16"/>
      <c r="C38" s="17"/>
      <c r="D38" s="11"/>
      <c r="E38" s="11"/>
      <c r="Z38" s="19"/>
      <c r="AB38" s="20"/>
      <c r="AC38" s="20"/>
      <c r="AD38" s="20"/>
      <c r="AE38" s="21"/>
      <c r="AF38" s="21"/>
    </row>
    <row r="39" spans="1:33" ht="21" x14ac:dyDescent="0.2">
      <c r="A39" s="67" t="s">
        <v>202</v>
      </c>
      <c r="C39" s="68"/>
      <c r="D39" s="69">
        <v>0</v>
      </c>
      <c r="E39" s="69">
        <v>-1</v>
      </c>
      <c r="F39" s="69">
        <v>-2</v>
      </c>
      <c r="G39" s="69">
        <v>-3</v>
      </c>
      <c r="H39" s="69">
        <v>-4</v>
      </c>
      <c r="I39" s="69">
        <v>-5</v>
      </c>
      <c r="J39" s="70" t="s">
        <v>203</v>
      </c>
      <c r="K39" s="70" t="s">
        <v>204</v>
      </c>
      <c r="Z39" s="19"/>
      <c r="AB39" s="20"/>
      <c r="AC39" s="20"/>
      <c r="AD39" s="20"/>
      <c r="AE39" s="21"/>
      <c r="AF39" s="21"/>
    </row>
    <row r="40" spans="1:33" x14ac:dyDescent="0.2">
      <c r="A40" s="135"/>
      <c r="B40" s="135"/>
      <c r="C40" s="39" t="s">
        <v>205</v>
      </c>
      <c r="D40" s="71" t="s">
        <v>174</v>
      </c>
      <c r="E40" s="71" t="s">
        <v>174</v>
      </c>
      <c r="F40" s="71" t="s">
        <v>177</v>
      </c>
      <c r="G40" s="71" t="s">
        <v>172</v>
      </c>
      <c r="H40" s="71" t="s">
        <v>172</v>
      </c>
      <c r="I40" s="71" t="s">
        <v>172</v>
      </c>
      <c r="J40" s="40">
        <v>2</v>
      </c>
      <c r="K40" s="41">
        <f t="shared" ref="K40:K41" si="16">J40+1.7</f>
        <v>3.7</v>
      </c>
    </row>
    <row r="41" spans="1:33" x14ac:dyDescent="0.2">
      <c r="A41" s="135"/>
      <c r="B41" s="135"/>
      <c r="C41" s="39" t="s">
        <v>206</v>
      </c>
      <c r="D41" s="71" t="s">
        <v>174</v>
      </c>
      <c r="E41" s="71" t="s">
        <v>174</v>
      </c>
      <c r="F41" s="71" t="s">
        <v>179</v>
      </c>
      <c r="G41" s="71" t="s">
        <v>172</v>
      </c>
      <c r="H41" s="71" t="s">
        <v>172</v>
      </c>
      <c r="I41" s="71" t="s">
        <v>172</v>
      </c>
      <c r="J41" s="40">
        <v>1.75</v>
      </c>
      <c r="K41" s="41">
        <f t="shared" si="16"/>
        <v>3.45</v>
      </c>
    </row>
    <row r="42" spans="1:33" x14ac:dyDescent="0.2">
      <c r="A42" s="135"/>
      <c r="B42" s="135"/>
      <c r="C42" s="39" t="s">
        <v>207</v>
      </c>
      <c r="D42" s="71" t="s">
        <v>174</v>
      </c>
      <c r="E42" s="71" t="s">
        <v>179</v>
      </c>
      <c r="F42" s="71" t="s">
        <v>172</v>
      </c>
      <c r="G42" s="71" t="s">
        <v>172</v>
      </c>
      <c r="H42" s="71" t="s">
        <v>172</v>
      </c>
      <c r="I42" s="71" t="s">
        <v>172</v>
      </c>
      <c r="J42" s="40">
        <v>0.75</v>
      </c>
      <c r="K42" s="41">
        <f t="shared" ref="K42" si="17">J42+1.7</f>
        <v>2.4500000000000002</v>
      </c>
    </row>
    <row r="43" spans="1:33" x14ac:dyDescent="0.2">
      <c r="A43" s="135"/>
      <c r="B43" s="135"/>
      <c r="C43" s="39" t="s">
        <v>208</v>
      </c>
      <c r="D43" s="71" t="s">
        <v>174</v>
      </c>
      <c r="E43" s="71" t="s">
        <v>181</v>
      </c>
      <c r="F43" s="71" t="s">
        <v>172</v>
      </c>
      <c r="G43" s="71" t="s">
        <v>172</v>
      </c>
      <c r="H43" s="71" t="s">
        <v>172</v>
      </c>
      <c r="I43" s="71" t="s">
        <v>172</v>
      </c>
      <c r="J43" s="40">
        <v>1.25</v>
      </c>
      <c r="K43" s="41">
        <f>J43+1.6</f>
        <v>2.85</v>
      </c>
    </row>
    <row r="44" spans="1:33" x14ac:dyDescent="0.2">
      <c r="B44" s="22"/>
      <c r="C44" s="9"/>
      <c r="D44" s="11"/>
      <c r="E44" s="11"/>
    </row>
    <row r="45" spans="1:33" x14ac:dyDescent="0.2">
      <c r="A45" s="45" t="s">
        <v>209</v>
      </c>
      <c r="B45" s="45"/>
      <c r="C45" s="46"/>
      <c r="D45" s="47"/>
      <c r="E45" s="47"/>
      <c r="F45" s="47"/>
      <c r="G45" s="47"/>
      <c r="H45" s="47"/>
      <c r="I45" s="47"/>
      <c r="J45" s="47"/>
      <c r="K45" s="47"/>
    </row>
    <row r="46" spans="1:33" x14ac:dyDescent="0.2">
      <c r="A46" s="42"/>
      <c r="B46" s="48"/>
      <c r="C46" s="43"/>
      <c r="D46" s="44"/>
      <c r="E46" s="44"/>
      <c r="F46" s="44"/>
      <c r="G46" s="44"/>
      <c r="H46" s="44"/>
      <c r="I46" s="44"/>
      <c r="J46" s="44"/>
      <c r="K46" s="44"/>
    </row>
    <row r="47" spans="1:33" x14ac:dyDescent="0.2">
      <c r="A47" s="42" t="s">
        <v>210</v>
      </c>
      <c r="B47" s="48"/>
      <c r="C47" s="49"/>
      <c r="D47" s="44"/>
      <c r="E47" s="44"/>
      <c r="F47" s="44"/>
      <c r="G47" s="44"/>
      <c r="H47" s="44"/>
      <c r="I47" s="44"/>
      <c r="J47" s="44"/>
      <c r="K47" s="44"/>
    </row>
    <row r="48" spans="1:33" x14ac:dyDescent="0.2">
      <c r="A48" s="42" t="s">
        <v>211</v>
      </c>
      <c r="B48" s="48"/>
      <c r="C48" s="50"/>
      <c r="D48" s="48"/>
      <c r="E48" s="44"/>
      <c r="F48" s="44"/>
      <c r="G48" s="44"/>
      <c r="H48" s="44"/>
      <c r="I48" s="44"/>
      <c r="J48" s="44"/>
      <c r="K48" s="44"/>
    </row>
    <row r="49" spans="1:11" x14ac:dyDescent="0.2">
      <c r="A49" s="42" t="s">
        <v>212</v>
      </c>
      <c r="B49" s="48"/>
      <c r="C49" s="50"/>
      <c r="D49" s="48"/>
      <c r="E49" s="44"/>
      <c r="F49" s="44"/>
      <c r="G49" s="44"/>
      <c r="H49" s="44"/>
      <c r="I49" s="44"/>
      <c r="J49" s="44"/>
      <c r="K49" s="44"/>
    </row>
    <row r="50" spans="1:11" x14ac:dyDescent="0.2">
      <c r="A50" s="42"/>
      <c r="B50" s="48"/>
      <c r="C50" s="48"/>
      <c r="D50" s="48"/>
      <c r="E50" s="44"/>
      <c r="F50" s="44"/>
      <c r="G50" s="44"/>
      <c r="H50" s="44"/>
      <c r="I50" s="44"/>
      <c r="J50" s="44"/>
      <c r="K50" s="44"/>
    </row>
    <row r="51" spans="1:11" x14ac:dyDescent="0.2">
      <c r="B51" s="22"/>
      <c r="E51" s="11"/>
    </row>
    <row r="52" spans="1:11" x14ac:dyDescent="0.2">
      <c r="E52" s="11"/>
    </row>
    <row r="55" spans="1:11" x14ac:dyDescent="0.2">
      <c r="F55" s="22"/>
    </row>
  </sheetData>
  <mergeCells count="30">
    <mergeCell ref="G1:H1"/>
    <mergeCell ref="L1:M1"/>
    <mergeCell ref="P1:Q1"/>
    <mergeCell ref="AF5:AF7"/>
    <mergeCell ref="AG5:AG7"/>
    <mergeCell ref="O5:O6"/>
    <mergeCell ref="P5:P6"/>
    <mergeCell ref="Q5:Q7"/>
    <mergeCell ref="W3:AE3"/>
    <mergeCell ref="R5:R7"/>
    <mergeCell ref="S5:T7"/>
    <mergeCell ref="A32:A33"/>
    <mergeCell ref="A34:A35"/>
    <mergeCell ref="A36:A37"/>
    <mergeCell ref="A28:A29"/>
    <mergeCell ref="A12:A13"/>
    <mergeCell ref="A14:A15"/>
    <mergeCell ref="A16:A17"/>
    <mergeCell ref="A18:A19"/>
    <mergeCell ref="A20:A21"/>
    <mergeCell ref="A22:A23"/>
    <mergeCell ref="C5:C7"/>
    <mergeCell ref="D5:D7"/>
    <mergeCell ref="A24:A25"/>
    <mergeCell ref="A26:A27"/>
    <mergeCell ref="A30:A31"/>
    <mergeCell ref="A5:A7"/>
    <mergeCell ref="B5:B7"/>
    <mergeCell ref="A8:A9"/>
    <mergeCell ref="A10:A11"/>
  </mergeCells>
  <conditionalFormatting sqref="A40:K41 A42 C42:K42 A43:K43">
    <cfRule type="expression" dxfId="11" priority="6">
      <formula>AND($K40&lt;3.8,$K40&gt;2.8)</formula>
    </cfRule>
  </conditionalFormatting>
  <conditionalFormatting sqref="E8:N37">
    <cfRule type="expression" dxfId="10" priority="2">
      <formula>LEN(E8)&lt;1</formula>
    </cfRule>
    <cfRule type="expression" dxfId="9" priority="3">
      <formula>LEN(E8)&lt;4</formula>
    </cfRule>
    <cfRule type="expression" dxfId="8" priority="4">
      <formula>LEN(E8)&gt;4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6C5E7C0-ADCB-4875-8BD1-95C3C5343E4E}">
            <xm:f>NOT(ISERROR(SEARCH("-",O5)))</xm:f>
            <xm:f>"-"</xm:f>
            <x14:dxf>
              <fill>
                <patternFill>
                  <bgColor rgb="FFFFCCCC"/>
                </patternFill>
              </fill>
            </x14:dxf>
          </x14:cfRule>
          <xm:sqref>O5:O37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85D3-B8F9-4AC4-897D-F43EFA4BC483}">
  <dimension ref="A1:AK57"/>
  <sheetViews>
    <sheetView zoomScaleNormal="100" workbookViewId="0">
      <pane xSplit="1" ySplit="7" topLeftCell="B8" activePane="bottomRight" state="frozen"/>
      <selection pane="topRight" activeCell="B1" sqref="B1"/>
      <selection pane="bottomLeft" activeCell="A5" sqref="A5"/>
      <selection pane="bottomRight" activeCell="P39" sqref="P39"/>
    </sheetView>
  </sheetViews>
  <sheetFormatPr defaultColWidth="10.875" defaultRowHeight="12.75" x14ac:dyDescent="0.2"/>
  <cols>
    <col min="1" max="1" width="5.5" style="8" customWidth="1"/>
    <col min="2" max="2" width="8" style="8" customWidth="1"/>
    <col min="3" max="3" width="25.5" style="8" customWidth="1"/>
    <col min="4" max="5" width="6.5" style="22" customWidth="1"/>
    <col min="6" max="16" width="6.5" style="11" customWidth="1"/>
    <col min="17" max="17" width="6.5" style="22" customWidth="1"/>
    <col min="18" max="19" width="6.375" style="22" hidden="1" customWidth="1"/>
    <col min="20" max="20" width="6.5" style="22" hidden="1" customWidth="1"/>
    <col min="21" max="21" width="13.5" style="22" customWidth="1"/>
    <col min="22" max="22" width="10.875" style="22"/>
    <col min="23" max="23" width="6" style="22" bestFit="1" customWidth="1"/>
    <col min="24" max="24" width="10.875" style="22"/>
    <col min="25" max="25" width="6.5" style="22" bestFit="1" customWidth="1"/>
    <col min="26" max="26" width="7.875" style="22" customWidth="1"/>
    <col min="27" max="27" width="10.875" style="22"/>
    <col min="28" max="28" width="8.5" style="22" customWidth="1"/>
    <col min="29" max="29" width="10.5" style="22" bestFit="1" customWidth="1"/>
    <col min="30" max="30" width="8.375" style="22" customWidth="1"/>
    <col min="31" max="31" width="10.875" style="22"/>
    <col min="32" max="32" width="10.875" style="22" hidden="1" customWidth="1"/>
    <col min="33" max="33" width="10.875" style="22"/>
    <col min="34" max="16384" width="10.875" style="8"/>
  </cols>
  <sheetData>
    <row r="1" spans="1:37" s="64" customFormat="1" ht="21" x14ac:dyDescent="0.35">
      <c r="A1" s="62" t="s">
        <v>135</v>
      </c>
      <c r="B1" s="63"/>
      <c r="C1" s="65"/>
      <c r="D1" s="63"/>
      <c r="E1" s="62"/>
      <c r="F1" s="66" t="s">
        <v>1</v>
      </c>
      <c r="G1" s="156" t="s">
        <v>213</v>
      </c>
      <c r="H1" s="156"/>
      <c r="I1" s="62"/>
      <c r="J1" s="62"/>
      <c r="K1" s="66" t="s">
        <v>3</v>
      </c>
      <c r="L1" s="156" t="s">
        <v>214</v>
      </c>
      <c r="M1" s="156"/>
      <c r="N1" s="65"/>
      <c r="O1" s="62"/>
      <c r="P1" s="137" t="str">
        <f>'MN layout (2x)'!R1</f>
        <v>FM</v>
      </c>
      <c r="Q1" s="137"/>
      <c r="R1" s="124"/>
      <c r="S1" s="124"/>
      <c r="T1" s="124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customFormat="1" ht="15.75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</row>
    <row r="3" spans="1:37" ht="15" x14ac:dyDescent="0.2">
      <c r="A3" s="36" t="s">
        <v>136</v>
      </c>
      <c r="V3" s="8"/>
      <c r="W3" s="163" t="s">
        <v>137</v>
      </c>
      <c r="X3" s="163"/>
      <c r="Y3" s="163"/>
      <c r="Z3" s="163"/>
      <c r="AA3" s="163"/>
      <c r="AB3" s="163"/>
      <c r="AC3" s="163"/>
      <c r="AD3" s="163"/>
      <c r="AE3" s="163"/>
      <c r="AF3" s="125"/>
      <c r="AG3" s="126"/>
    </row>
    <row r="4" spans="1:37" x14ac:dyDescent="0.2">
      <c r="U4" s="56" t="s">
        <v>138</v>
      </c>
      <c r="V4" s="56" t="s">
        <v>138</v>
      </c>
      <c r="W4" s="13"/>
      <c r="X4" s="56" t="s">
        <v>138</v>
      </c>
      <c r="Y4" s="10"/>
      <c r="Z4" s="10"/>
      <c r="AA4" s="10"/>
      <c r="AB4" s="10"/>
      <c r="AC4" s="10" t="s">
        <v>139</v>
      </c>
      <c r="AD4" s="10"/>
      <c r="AE4" s="10"/>
      <c r="AG4" s="126"/>
    </row>
    <row r="5" spans="1:37" s="23" customFormat="1" ht="12.75" customHeight="1" x14ac:dyDescent="0.25">
      <c r="A5" s="151" t="s">
        <v>140</v>
      </c>
      <c r="B5" s="151" t="s">
        <v>141</v>
      </c>
      <c r="C5" s="151" t="s">
        <v>142</v>
      </c>
      <c r="D5" s="153" t="s">
        <v>143</v>
      </c>
      <c r="E5" s="26">
        <v>20</v>
      </c>
      <c r="F5" s="26">
        <v>40</v>
      </c>
      <c r="G5" s="26">
        <v>80</v>
      </c>
      <c r="H5" s="26">
        <v>160</v>
      </c>
      <c r="I5" s="26">
        <v>320</v>
      </c>
      <c r="J5" s="26">
        <v>640</v>
      </c>
      <c r="K5" s="26">
        <v>1280</v>
      </c>
      <c r="L5" s="26">
        <v>2560</v>
      </c>
      <c r="M5" s="26">
        <v>5120</v>
      </c>
      <c r="N5" s="26">
        <v>10240</v>
      </c>
      <c r="O5" s="161" t="s">
        <v>144</v>
      </c>
      <c r="P5" s="161" t="s">
        <v>145</v>
      </c>
      <c r="Q5" s="162" t="s">
        <v>146</v>
      </c>
      <c r="R5" s="164" t="s">
        <v>147</v>
      </c>
      <c r="S5" s="164" t="s">
        <v>148</v>
      </c>
      <c r="T5" s="164"/>
      <c r="U5" s="57" t="s">
        <v>149</v>
      </c>
      <c r="V5" s="57" t="s">
        <v>150</v>
      </c>
      <c r="W5" s="24" t="s">
        <v>151</v>
      </c>
      <c r="X5" s="57" t="s">
        <v>152</v>
      </c>
      <c r="Y5" s="25" t="s">
        <v>153</v>
      </c>
      <c r="Z5" s="25" t="s">
        <v>154</v>
      </c>
      <c r="AA5" s="25" t="s">
        <v>155</v>
      </c>
      <c r="AB5" s="25" t="s">
        <v>156</v>
      </c>
      <c r="AC5" s="25" t="s">
        <v>157</v>
      </c>
      <c r="AD5" s="25" t="s">
        <v>158</v>
      </c>
      <c r="AE5" s="25" t="s">
        <v>159</v>
      </c>
      <c r="AF5" s="157" t="s">
        <v>160</v>
      </c>
      <c r="AG5" s="159" t="s">
        <v>161</v>
      </c>
    </row>
    <row r="6" spans="1:37" s="23" customFormat="1" x14ac:dyDescent="0.25">
      <c r="A6" s="151"/>
      <c r="B6" s="151"/>
      <c r="C6" s="151"/>
      <c r="D6" s="153"/>
      <c r="E6" s="26"/>
      <c r="F6" s="26"/>
      <c r="G6" s="26"/>
      <c r="H6" s="26"/>
      <c r="I6" s="26"/>
      <c r="J6" s="26"/>
      <c r="K6" s="26"/>
      <c r="L6" s="26"/>
      <c r="M6" s="26"/>
      <c r="N6" s="26"/>
      <c r="O6" s="161"/>
      <c r="P6" s="161"/>
      <c r="Q6" s="162"/>
      <c r="R6" s="164"/>
      <c r="S6" s="164"/>
      <c r="T6" s="164"/>
      <c r="U6" s="57"/>
      <c r="V6" s="57"/>
      <c r="W6" s="24"/>
      <c r="X6" s="57"/>
      <c r="Y6" s="25"/>
      <c r="Z6" s="25"/>
      <c r="AA6" s="25"/>
      <c r="AB6" s="25"/>
      <c r="AC6" s="25"/>
      <c r="AD6" s="25"/>
      <c r="AE6" s="25"/>
      <c r="AF6" s="157"/>
      <c r="AG6" s="159"/>
    </row>
    <row r="7" spans="1:37" s="23" customFormat="1" ht="25.5" x14ac:dyDescent="0.25">
      <c r="A7" s="152"/>
      <c r="B7" s="152"/>
      <c r="C7" s="152"/>
      <c r="D7" s="154"/>
      <c r="E7" s="58">
        <v>1</v>
      </c>
      <c r="F7" s="58">
        <v>2</v>
      </c>
      <c r="G7" s="58">
        <v>3</v>
      </c>
      <c r="H7" s="58">
        <v>4</v>
      </c>
      <c r="I7" s="58">
        <v>5</v>
      </c>
      <c r="J7" s="58">
        <v>6</v>
      </c>
      <c r="K7" s="58">
        <v>7</v>
      </c>
      <c r="L7" s="58">
        <v>8</v>
      </c>
      <c r="M7" s="58">
        <v>9</v>
      </c>
      <c r="N7" s="58">
        <v>10</v>
      </c>
      <c r="O7" s="58">
        <v>11</v>
      </c>
      <c r="P7" s="58">
        <v>12</v>
      </c>
      <c r="Q7" s="162"/>
      <c r="R7" s="165"/>
      <c r="S7" s="165"/>
      <c r="T7" s="165"/>
      <c r="U7" s="59" t="s">
        <v>162</v>
      </c>
      <c r="V7" s="59" t="s">
        <v>163</v>
      </c>
      <c r="W7" s="60" t="s">
        <v>164</v>
      </c>
      <c r="X7" s="59" t="s">
        <v>165</v>
      </c>
      <c r="Y7" s="61" t="s">
        <v>166</v>
      </c>
      <c r="Z7" s="61" t="s">
        <v>167</v>
      </c>
      <c r="AA7" s="61" t="s">
        <v>168</v>
      </c>
      <c r="AB7" s="61" t="s">
        <v>169</v>
      </c>
      <c r="AC7" s="61" t="s">
        <v>170</v>
      </c>
      <c r="AD7" s="61"/>
      <c r="AE7" s="61"/>
      <c r="AF7" s="158"/>
      <c r="AG7" s="160"/>
    </row>
    <row r="8" spans="1:37" x14ac:dyDescent="0.2">
      <c r="A8" s="155" t="s">
        <v>171</v>
      </c>
      <c r="B8" s="16">
        <f>'MN layout (2x)'!C4</f>
        <v>1</v>
      </c>
      <c r="C8" s="17" t="str">
        <f>'MN layout (2x)'!A4</f>
        <v>High 3</v>
      </c>
      <c r="D8" s="28" t="str">
        <f>'MN layout (2x)'!B4</f>
        <v>1:20</v>
      </c>
      <c r="E8" s="18" t="s">
        <v>172</v>
      </c>
      <c r="F8" s="18" t="s">
        <v>172</v>
      </c>
      <c r="G8" s="18" t="s">
        <v>172</v>
      </c>
      <c r="H8" s="18" t="s">
        <v>172</v>
      </c>
      <c r="I8" s="18" t="s">
        <v>185</v>
      </c>
      <c r="J8" s="18" t="s">
        <v>177</v>
      </c>
      <c r="K8" s="18" t="s">
        <v>174</v>
      </c>
      <c r="L8" s="18" t="s">
        <v>174</v>
      </c>
      <c r="M8" s="18" t="s">
        <v>174</v>
      </c>
      <c r="N8" s="18" t="s">
        <v>181</v>
      </c>
      <c r="O8" s="18" t="s">
        <v>174</v>
      </c>
      <c r="P8" s="18" t="s">
        <v>172</v>
      </c>
      <c r="Q8" s="22" cm="1">
        <f t="array" ref="Q8">SUMPRODUCT(LEN(E8:N8)-LEN(SUBSTITUTE(E8:N8,"-","")))</f>
        <v>22</v>
      </c>
      <c r="R8" s="127">
        <f>Q8/4</f>
        <v>5.5</v>
      </c>
      <c r="S8" s="128" t="str" cm="1">
        <f t="array" ref="S8:T8">_xlfn.TEXTSPLIT(R8,".",)</f>
        <v>5</v>
      </c>
      <c r="T8" s="128" t="str">
        <v>5</v>
      </c>
      <c r="U8" s="12">
        <f>IF(Q8=0,10,(IF(Q8=1,10,(IF(Q8=2,20,(IF(Q8=3,20,(IF(Q8=4,20,(IF(Q8=5,20,(IF(Q8=6,40,(IF(Q8=7,40,(IF(Q8=8,40,(IF(Q8=9,40,(IF(Q8=10,80,(IF(Q8=11,80,(IF(Q8=12,80,(IF(Q8=13,80,(IF(Q8=14,160,(IF(Q8=15,160,(IF(Q8=16,160,(IF(Q8=17,160,(IF(Q8=18,320,(IF(Q8=19,320,(IF(Q8=20,320,(IF(Q8=21,320,(IF(Q8=22,640,(IF(Q8=23,640,(IF(Q8=24,640,(IF(Q8=25,640,(IF(Q8=26,1280,(IF(Q8=27,1280,(IF(Q8=28,1280,(IF(Q8=29,1280,(IF(Q8=30,2560,(IF(Q8=31,2560,(IF(Q8=32,2560,(IF(Q8=33,2560,(IF(Q8=34,5120,(IF(Q8=35,5120,(IF(Q8=36,5120,(IF(Q8=37,5120,(IF(Q8=38,10240,(IF(Q8=39,10240,(IF(Q8=40,10240,"No endpoint")))))))))))))))))))))))))))))))))))))))))))))))))))))))))))))))))))))))))))))))))</f>
        <v>640</v>
      </c>
      <c r="V8" s="12">
        <f>IF(T8="25",0,(IF(T8="5",50,(IF(T8="75",25,0)))))</f>
        <v>50</v>
      </c>
      <c r="W8" s="22">
        <f>50-V8</f>
        <v>0</v>
      </c>
      <c r="X8" s="12">
        <f>IF(T8="25",75,100)</f>
        <v>100</v>
      </c>
      <c r="Y8" s="22">
        <f>X8-V8</f>
        <v>50</v>
      </c>
      <c r="Z8" s="19">
        <f>W8/Y8</f>
        <v>0</v>
      </c>
      <c r="AA8" s="22">
        <f>LOG10(2)</f>
        <v>0.3010299956639812</v>
      </c>
      <c r="AB8" s="20">
        <f>Z8*AA8</f>
        <v>0</v>
      </c>
      <c r="AC8" s="20">
        <f t="shared" ref="AC8:AC37" si="0">LOG10(U8)</f>
        <v>2.8061799739838871</v>
      </c>
      <c r="AD8" s="20">
        <f>AB8+AC8</f>
        <v>2.8061799739838871</v>
      </c>
      <c r="AE8" s="21">
        <f>10^AD8</f>
        <v>640.00000000000045</v>
      </c>
      <c r="AF8" s="129">
        <f>ROUND(AE8,1)</f>
        <v>640</v>
      </c>
      <c r="AG8" s="12">
        <f>IF(AF8&lt;20,"&lt;20",ROUND(AF8,0))</f>
        <v>640</v>
      </c>
    </row>
    <row r="9" spans="1:37" s="35" customFormat="1" x14ac:dyDescent="0.2">
      <c r="A9" s="155"/>
      <c r="B9" s="29">
        <f>'MN layout (2x)'!C5</f>
        <v>2</v>
      </c>
      <c r="C9" s="30" t="str">
        <f>'MN layout (2x)'!A5</f>
        <v>1678-044_pv2</v>
      </c>
      <c r="D9" s="14" t="str">
        <f>'MN layout (2x)'!B5</f>
        <v>1:20</v>
      </c>
      <c r="E9" s="72" t="s">
        <v>189</v>
      </c>
      <c r="F9" s="72" t="s">
        <v>172</v>
      </c>
      <c r="G9" s="72" t="s">
        <v>187</v>
      </c>
      <c r="H9" s="72" t="s">
        <v>173</v>
      </c>
      <c r="I9" s="72" t="s">
        <v>174</v>
      </c>
      <c r="J9" s="72" t="s">
        <v>184</v>
      </c>
      <c r="K9" s="72" t="s">
        <v>174</v>
      </c>
      <c r="L9" s="72" t="s">
        <v>174</v>
      </c>
      <c r="M9" s="72" t="s">
        <v>174</v>
      </c>
      <c r="N9" s="72" t="s">
        <v>174</v>
      </c>
      <c r="O9" s="31" t="s">
        <v>174</v>
      </c>
      <c r="P9" s="31" t="s">
        <v>172</v>
      </c>
      <c r="Q9" s="14" cm="1">
        <f t="array" ref="Q9">SUMPRODUCT(LEN(E9:N9)-LEN(SUBSTITUTE(E9:N9,"-","")))</f>
        <v>9</v>
      </c>
      <c r="R9" s="130">
        <f t="shared" ref="R9:R37" si="1">Q9/4</f>
        <v>2.25</v>
      </c>
      <c r="S9" s="131" t="str" cm="1">
        <f t="array" ref="S9:T9">_xlfn.TEXTSPLIT(R9,".",)</f>
        <v>2</v>
      </c>
      <c r="T9" s="131" t="str">
        <v>25</v>
      </c>
      <c r="U9" s="15">
        <f t="shared" ref="U9:U37" si="2">IF(Q9=0,10,(IF(Q9=1,10,(IF(Q9=2,20,(IF(Q9=3,20,(IF(Q9=4,20,(IF(Q9=5,20,(IF(Q9=6,40,(IF(Q9=7,40,(IF(Q9=8,40,(IF(Q9=9,40,(IF(Q9=10,80,(IF(Q9=11,80,(IF(Q9=12,80,(IF(Q9=13,80,(IF(Q9=14,160,(IF(Q9=15,160,(IF(Q9=16,160,(IF(Q9=17,160,(IF(Q9=18,320,(IF(Q9=19,320,(IF(Q9=20,320,(IF(Q9=21,320,(IF(Q9=22,640,(IF(Q9=23,640,(IF(Q9=24,640,(IF(Q9=25,640,(IF(Q9=26,1280,(IF(Q9=27,1280,(IF(Q9=28,1280,(IF(Q9=29,1280,(IF(Q9=30,2560,(IF(Q9=31,2560,(IF(Q9=32,2560,(IF(Q9=33,2560,(IF(Q9=34,5120,(IF(Q9=35,5120,(IF(Q9=36,5120,(IF(Q9=37,5120,(IF(Q9=38,10240,(IF(Q9=39,10240,(IF(Q9=40,10240,"No endpoint")))))))))))))))))))))))))))))))))))))))))))))))))))))))))))))))))))))))))))))))))</f>
        <v>40</v>
      </c>
      <c r="V9" s="15">
        <f t="shared" ref="V9:V12" si="3">IF(T9="25",0,(IF(T9="5",50,(IF(T9="75",25,0)))))</f>
        <v>0</v>
      </c>
      <c r="W9" s="14">
        <f>50-V9</f>
        <v>50</v>
      </c>
      <c r="X9" s="15">
        <f t="shared" ref="X9:X12" si="4">IF(T9="25",75,100)</f>
        <v>75</v>
      </c>
      <c r="Y9" s="14">
        <f>X9-V9</f>
        <v>75</v>
      </c>
      <c r="Z9" s="32">
        <f>W9/Y9</f>
        <v>0.66666666666666663</v>
      </c>
      <c r="AA9" s="14">
        <f>LOG10(2)</f>
        <v>0.3010299956639812</v>
      </c>
      <c r="AB9" s="33">
        <f>Z9*AA9</f>
        <v>0.20068666377598746</v>
      </c>
      <c r="AC9" s="33">
        <f t="shared" si="0"/>
        <v>1.6020599913279623</v>
      </c>
      <c r="AD9" s="33">
        <f>AB9+AC9</f>
        <v>1.8027466551039497</v>
      </c>
      <c r="AE9" s="34">
        <f>10^AD9</f>
        <v>63.496042078727967</v>
      </c>
      <c r="AF9" s="132">
        <f t="shared" ref="AF9:AF37" si="5">ROUND(AE9,1)</f>
        <v>63.5</v>
      </c>
      <c r="AG9" s="15">
        <f t="shared" ref="AG9:AG37" si="6">IF(AF9&lt;20,"&lt;20",ROUND(AF9,0))</f>
        <v>64</v>
      </c>
    </row>
    <row r="10" spans="1:37" x14ac:dyDescent="0.2">
      <c r="A10" s="155" t="s">
        <v>178</v>
      </c>
      <c r="B10" s="16">
        <f>'MN layout (2x)'!C6</f>
        <v>3</v>
      </c>
      <c r="C10" s="17" t="str">
        <f>'MN layout (2x)'!A6</f>
        <v>1678-044_PB1</v>
      </c>
      <c r="D10" s="11" t="str">
        <f>'MN layout (2x)'!B6</f>
        <v>1:20</v>
      </c>
      <c r="E10" s="18" t="s">
        <v>172</v>
      </c>
      <c r="F10" s="18" t="s">
        <v>172</v>
      </c>
      <c r="G10" s="18" t="s">
        <v>172</v>
      </c>
      <c r="H10" s="18" t="s">
        <v>172</v>
      </c>
      <c r="I10" s="18" t="s">
        <v>172</v>
      </c>
      <c r="J10" s="18" t="s">
        <v>185</v>
      </c>
      <c r="K10" s="18" t="s">
        <v>179</v>
      </c>
      <c r="L10" s="18" t="s">
        <v>174</v>
      </c>
      <c r="M10" s="18" t="s">
        <v>174</v>
      </c>
      <c r="N10" s="18" t="s">
        <v>174</v>
      </c>
      <c r="O10" s="18" t="s">
        <v>174</v>
      </c>
      <c r="P10" s="11" t="s">
        <v>172</v>
      </c>
      <c r="Q10" s="22" cm="1">
        <f t="array" ref="Q10">SUMPRODUCT(LEN(E10:N10)-LEN(SUBSTITUTE(E10:N10,"-","")))</f>
        <v>26</v>
      </c>
      <c r="R10" s="127">
        <f t="shared" si="1"/>
        <v>6.5</v>
      </c>
      <c r="S10" s="128" t="str" cm="1">
        <f t="array" ref="S10:T10">_xlfn.TEXTSPLIT(R10,".",)</f>
        <v>6</v>
      </c>
      <c r="T10" s="128" t="str">
        <v>5</v>
      </c>
      <c r="U10" s="12">
        <f t="shared" si="2"/>
        <v>1280</v>
      </c>
      <c r="V10" s="12">
        <f t="shared" si="3"/>
        <v>50</v>
      </c>
      <c r="W10" s="22">
        <f>50-V10</f>
        <v>0</v>
      </c>
      <c r="X10" s="12">
        <f t="shared" si="4"/>
        <v>100</v>
      </c>
      <c r="Y10" s="22">
        <f>X10-V10</f>
        <v>50</v>
      </c>
      <c r="Z10" s="19">
        <f>W10/Y10</f>
        <v>0</v>
      </c>
      <c r="AA10" s="22">
        <f>LOG10(2)</f>
        <v>0.3010299956639812</v>
      </c>
      <c r="AB10" s="20">
        <f>Z10*AA10</f>
        <v>0</v>
      </c>
      <c r="AC10" s="20">
        <f t="shared" si="0"/>
        <v>3.1072099696478683</v>
      </c>
      <c r="AD10" s="20">
        <f>AB10+AC10</f>
        <v>3.1072099696478683</v>
      </c>
      <c r="AE10" s="21">
        <f>10^AD10</f>
        <v>1280.0000000000011</v>
      </c>
      <c r="AF10" s="129">
        <f t="shared" si="5"/>
        <v>1280</v>
      </c>
      <c r="AG10" s="12">
        <f t="shared" si="6"/>
        <v>1280</v>
      </c>
    </row>
    <row r="11" spans="1:37" s="35" customFormat="1" x14ac:dyDescent="0.2">
      <c r="A11" s="155"/>
      <c r="B11" s="29">
        <f>'MN layout (2x)'!C7</f>
        <v>4</v>
      </c>
      <c r="C11" s="30" t="str">
        <f>'MN layout (2x)'!A7</f>
        <v>1678-047_pv2</v>
      </c>
      <c r="D11" s="31" t="str">
        <f>'MN layout (2x)'!B7</f>
        <v>1:20</v>
      </c>
      <c r="E11" s="72" t="s">
        <v>185</v>
      </c>
      <c r="F11" s="72" t="s">
        <v>175</v>
      </c>
      <c r="G11" s="72" t="s">
        <v>191</v>
      </c>
      <c r="H11" s="72" t="s">
        <v>185</v>
      </c>
      <c r="I11" s="72" t="s">
        <v>191</v>
      </c>
      <c r="J11" s="72" t="s">
        <v>180</v>
      </c>
      <c r="K11" s="72" t="s">
        <v>189</v>
      </c>
      <c r="L11" s="72" t="s">
        <v>173</v>
      </c>
      <c r="M11" s="72" t="s">
        <v>189</v>
      </c>
      <c r="N11" s="72" t="s">
        <v>173</v>
      </c>
      <c r="O11" s="31" t="s">
        <v>174</v>
      </c>
      <c r="P11" s="31" t="s">
        <v>172</v>
      </c>
      <c r="Q11" s="14" cm="1">
        <f t="array" ref="Q11">SUMPRODUCT(LEN(E11:N11)-LEN(SUBSTITUTE(E11:N11,"-","")))</f>
        <v>19</v>
      </c>
      <c r="R11" s="130">
        <f t="shared" si="1"/>
        <v>4.75</v>
      </c>
      <c r="S11" s="131" t="str" cm="1">
        <f t="array" ref="S11:T11">_xlfn.TEXTSPLIT(R11,".",)</f>
        <v>4</v>
      </c>
      <c r="T11" s="131" t="str">
        <v>75</v>
      </c>
      <c r="U11" s="15">
        <f t="shared" si="2"/>
        <v>320</v>
      </c>
      <c r="V11" s="15">
        <f t="shared" si="3"/>
        <v>25</v>
      </c>
      <c r="W11" s="14">
        <f t="shared" ref="W11:W37" si="7">50-V11</f>
        <v>25</v>
      </c>
      <c r="X11" s="15">
        <f t="shared" si="4"/>
        <v>100</v>
      </c>
      <c r="Y11" s="14">
        <f t="shared" ref="Y11:Y37" si="8">X11-V11</f>
        <v>75</v>
      </c>
      <c r="Z11" s="32">
        <f t="shared" ref="Z11:Z37" si="9">W11/Y11</f>
        <v>0.33333333333333331</v>
      </c>
      <c r="AA11" s="14">
        <f t="shared" ref="AA11:AA37" si="10">LOG10(2)</f>
        <v>0.3010299956639812</v>
      </c>
      <c r="AB11" s="33">
        <f t="shared" ref="AB11:AB37" si="11">Z11*AA11</f>
        <v>0.10034333188799373</v>
      </c>
      <c r="AC11" s="33">
        <f t="shared" si="0"/>
        <v>2.5051499783199058</v>
      </c>
      <c r="AD11" s="33">
        <f t="shared" ref="AD11:AD37" si="12">AB11+AC11</f>
        <v>2.6054933102078994</v>
      </c>
      <c r="AE11" s="34">
        <f t="shared" ref="AE11:AE37" si="13">10^AD11</f>
        <v>403.17473596635921</v>
      </c>
      <c r="AF11" s="132">
        <f t="shared" si="5"/>
        <v>403.2</v>
      </c>
      <c r="AG11" s="15">
        <f t="shared" si="6"/>
        <v>403</v>
      </c>
    </row>
    <row r="12" spans="1:37" x14ac:dyDescent="0.2">
      <c r="A12" s="155" t="s">
        <v>183</v>
      </c>
      <c r="B12" s="16">
        <f>'MN layout (2x)'!C8</f>
        <v>5</v>
      </c>
      <c r="C12" s="17" t="str">
        <f>'MN layout (2x)'!A8</f>
        <v>1678-047_post_v3</v>
      </c>
      <c r="D12" s="11" t="str">
        <f>'MN layout (2x)'!B8</f>
        <v>1:20</v>
      </c>
      <c r="E12" s="18" t="s">
        <v>172</v>
      </c>
      <c r="F12" s="18" t="s">
        <v>172</v>
      </c>
      <c r="G12" s="18" t="s">
        <v>172</v>
      </c>
      <c r="H12" s="18" t="s">
        <v>189</v>
      </c>
      <c r="I12" s="18" t="s">
        <v>189</v>
      </c>
      <c r="J12" s="18" t="s">
        <v>189</v>
      </c>
      <c r="K12" s="18" t="s">
        <v>174</v>
      </c>
      <c r="L12" s="18" t="s">
        <v>174</v>
      </c>
      <c r="M12" s="18" t="s">
        <v>174</v>
      </c>
      <c r="N12" s="18" t="s">
        <v>174</v>
      </c>
      <c r="O12" s="18" t="s">
        <v>174</v>
      </c>
      <c r="P12" s="11" t="s">
        <v>172</v>
      </c>
      <c r="Q12" s="22" cm="1">
        <f t="array" ref="Q12">SUMPRODUCT(LEN(E12:N12)-LEN(SUBSTITUTE(E12:N12,"-","")))</f>
        <v>15</v>
      </c>
      <c r="R12" s="127">
        <f t="shared" si="1"/>
        <v>3.75</v>
      </c>
      <c r="S12" s="128" t="str" cm="1">
        <f t="array" ref="S12:T12">_xlfn.TEXTSPLIT(R12,".",)</f>
        <v>3</v>
      </c>
      <c r="T12" s="128" t="str">
        <v>75</v>
      </c>
      <c r="U12" s="12">
        <f t="shared" si="2"/>
        <v>160</v>
      </c>
      <c r="V12" s="12">
        <f t="shared" si="3"/>
        <v>25</v>
      </c>
      <c r="W12" s="22">
        <f t="shared" si="7"/>
        <v>25</v>
      </c>
      <c r="X12" s="12">
        <f t="shared" si="4"/>
        <v>100</v>
      </c>
      <c r="Y12" s="22">
        <f t="shared" si="8"/>
        <v>75</v>
      </c>
      <c r="Z12" s="19">
        <f t="shared" si="9"/>
        <v>0.33333333333333331</v>
      </c>
      <c r="AA12" s="22">
        <f t="shared" si="10"/>
        <v>0.3010299956639812</v>
      </c>
      <c r="AB12" s="20">
        <f t="shared" si="11"/>
        <v>0.10034333188799373</v>
      </c>
      <c r="AC12" s="20">
        <f t="shared" si="0"/>
        <v>2.2041199826559246</v>
      </c>
      <c r="AD12" s="20">
        <f t="shared" si="12"/>
        <v>2.3044633145439182</v>
      </c>
      <c r="AE12" s="21">
        <f t="shared" si="13"/>
        <v>201.58736798317958</v>
      </c>
      <c r="AF12" s="129">
        <f t="shared" si="5"/>
        <v>201.6</v>
      </c>
      <c r="AG12" s="12">
        <f t="shared" si="6"/>
        <v>202</v>
      </c>
    </row>
    <row r="13" spans="1:37" s="35" customFormat="1" x14ac:dyDescent="0.2">
      <c r="A13" s="155"/>
      <c r="B13" s="29">
        <f>'MN layout (2x)'!C9</f>
        <v>6</v>
      </c>
      <c r="C13" s="30" t="str">
        <f>'MN layout (2x)'!A9</f>
        <v>1678-061_pv2</v>
      </c>
      <c r="D13" s="31" t="str">
        <f>'MN layout (2x)'!B9</f>
        <v>1:20</v>
      </c>
      <c r="E13" s="72" t="s">
        <v>176</v>
      </c>
      <c r="F13" s="72" t="s">
        <v>172</v>
      </c>
      <c r="G13" s="72" t="s">
        <v>174</v>
      </c>
      <c r="H13" s="72" t="s">
        <v>173</v>
      </c>
      <c r="I13" s="72" t="s">
        <v>191</v>
      </c>
      <c r="J13" s="72" t="s">
        <v>177</v>
      </c>
      <c r="K13" s="72" t="s">
        <v>174</v>
      </c>
      <c r="L13" s="72" t="s">
        <v>174</v>
      </c>
      <c r="M13" s="72" t="s">
        <v>181</v>
      </c>
      <c r="N13" s="72" t="s">
        <v>174</v>
      </c>
      <c r="O13" s="31" t="s">
        <v>174</v>
      </c>
      <c r="P13" s="31" t="s">
        <v>172</v>
      </c>
      <c r="Q13" s="14" cm="1">
        <f t="array" ref="Q13">SUMPRODUCT(LEN(E13:N13)-LEN(SUBSTITUTE(E13:N13,"-","")))</f>
        <v>13</v>
      </c>
      <c r="R13" s="130">
        <f t="shared" si="1"/>
        <v>3.25</v>
      </c>
      <c r="S13" s="131" t="str" cm="1">
        <f t="array" ref="S13:T13">_xlfn.TEXTSPLIT(R13,".",)</f>
        <v>3</v>
      </c>
      <c r="T13" s="131" t="str">
        <v>25</v>
      </c>
      <c r="U13" s="15">
        <f t="shared" si="2"/>
        <v>80</v>
      </c>
      <c r="V13" s="15">
        <f>IF(T13="25",0,(IF(T13="5",50,(IF(T13="75",25,0)))))</f>
        <v>0</v>
      </c>
      <c r="W13" s="14">
        <f t="shared" si="7"/>
        <v>50</v>
      </c>
      <c r="X13" s="15">
        <f>IF(T13="25",75,100)</f>
        <v>75</v>
      </c>
      <c r="Y13" s="14">
        <f t="shared" si="8"/>
        <v>75</v>
      </c>
      <c r="Z13" s="32">
        <f t="shared" si="9"/>
        <v>0.66666666666666663</v>
      </c>
      <c r="AA13" s="14">
        <f t="shared" si="10"/>
        <v>0.3010299956639812</v>
      </c>
      <c r="AB13" s="33">
        <f t="shared" si="11"/>
        <v>0.20068666377598746</v>
      </c>
      <c r="AC13" s="33">
        <f t="shared" si="0"/>
        <v>1.9030899869919435</v>
      </c>
      <c r="AD13" s="33">
        <f t="shared" si="12"/>
        <v>2.103776650767931</v>
      </c>
      <c r="AE13" s="34">
        <f t="shared" si="13"/>
        <v>126.99208415745595</v>
      </c>
      <c r="AF13" s="132">
        <f t="shared" si="5"/>
        <v>127</v>
      </c>
      <c r="AG13" s="15">
        <f t="shared" si="6"/>
        <v>127</v>
      </c>
    </row>
    <row r="14" spans="1:37" x14ac:dyDescent="0.2">
      <c r="A14" s="155" t="s">
        <v>188</v>
      </c>
      <c r="B14" s="16">
        <f>'MN layout (2x)'!C10</f>
        <v>7</v>
      </c>
      <c r="C14" s="17" t="str">
        <f>'MN layout (2x)'!A10</f>
        <v>1678-061_post_v3</v>
      </c>
      <c r="D14" s="11" t="str">
        <f>'MN layout (2x)'!B10</f>
        <v>1:20</v>
      </c>
      <c r="E14" s="18" t="s">
        <v>172</v>
      </c>
      <c r="F14" s="18" t="s">
        <v>172</v>
      </c>
      <c r="G14" s="18" t="s">
        <v>172</v>
      </c>
      <c r="H14" s="18" t="s">
        <v>174</v>
      </c>
      <c r="I14" s="18" t="s">
        <v>174</v>
      </c>
      <c r="J14" s="18" t="s">
        <v>174</v>
      </c>
      <c r="K14" s="18" t="s">
        <v>174</v>
      </c>
      <c r="L14" s="18" t="s">
        <v>174</v>
      </c>
      <c r="M14" s="18" t="s">
        <v>174</v>
      </c>
      <c r="N14" s="18" t="s">
        <v>174</v>
      </c>
      <c r="O14" s="18" t="s">
        <v>174</v>
      </c>
      <c r="P14" s="11" t="s">
        <v>172</v>
      </c>
      <c r="Q14" s="22" cm="1">
        <f t="array" ref="Q14">SUMPRODUCT(LEN(E14:N14)-LEN(SUBSTITUTE(E14:N14,"-","")))</f>
        <v>12</v>
      </c>
      <c r="R14" s="127">
        <f t="shared" si="1"/>
        <v>3</v>
      </c>
      <c r="S14" s="128" t="str" cm="1">
        <f t="array" ref="S14">_xlfn.TEXTSPLIT(R14,".",)</f>
        <v>3</v>
      </c>
      <c r="T14" s="128"/>
      <c r="U14" s="12">
        <f t="shared" si="2"/>
        <v>80</v>
      </c>
      <c r="V14" s="12">
        <f>IF(T14="25",0,(IF(T14="5",50,(IF(T14="75",25,0)))))</f>
        <v>0</v>
      </c>
      <c r="W14" s="22">
        <f t="shared" si="7"/>
        <v>50</v>
      </c>
      <c r="X14" s="12">
        <f>IF(T14="25",75,100)</f>
        <v>100</v>
      </c>
      <c r="Y14" s="22">
        <f t="shared" si="8"/>
        <v>100</v>
      </c>
      <c r="Z14" s="19">
        <f t="shared" si="9"/>
        <v>0.5</v>
      </c>
      <c r="AA14" s="22">
        <f t="shared" si="10"/>
        <v>0.3010299956639812</v>
      </c>
      <c r="AB14" s="20">
        <f t="shared" si="11"/>
        <v>0.1505149978319906</v>
      </c>
      <c r="AC14" s="20">
        <f t="shared" si="0"/>
        <v>1.9030899869919435</v>
      </c>
      <c r="AD14" s="20">
        <f t="shared" si="12"/>
        <v>2.0536049848239339</v>
      </c>
      <c r="AE14" s="21">
        <f t="shared" si="13"/>
        <v>113.13708498984757</v>
      </c>
      <c r="AF14" s="129">
        <f t="shared" si="5"/>
        <v>113.1</v>
      </c>
      <c r="AG14" s="12">
        <f t="shared" si="6"/>
        <v>113</v>
      </c>
    </row>
    <row r="15" spans="1:37" s="35" customFormat="1" x14ac:dyDescent="0.2">
      <c r="A15" s="155"/>
      <c r="B15" s="29">
        <f>'MN layout (2x)'!C11</f>
        <v>8</v>
      </c>
      <c r="C15" s="30" t="str">
        <f>'MN layout (2x)'!A11</f>
        <v>1678-065_pv2</v>
      </c>
      <c r="D15" s="31" t="str">
        <f>'MN layout (2x)'!B11</f>
        <v>1:20</v>
      </c>
      <c r="E15" s="72" t="s">
        <v>175</v>
      </c>
      <c r="F15" s="72" t="s">
        <v>180</v>
      </c>
      <c r="G15" s="72" t="s">
        <v>174</v>
      </c>
      <c r="H15" s="72" t="s">
        <v>179</v>
      </c>
      <c r="I15" s="72" t="s">
        <v>189</v>
      </c>
      <c r="J15" s="72" t="s">
        <v>184</v>
      </c>
      <c r="K15" s="72" t="s">
        <v>174</v>
      </c>
      <c r="L15" s="72" t="s">
        <v>174</v>
      </c>
      <c r="M15" s="72" t="s">
        <v>174</v>
      </c>
      <c r="N15" s="72" t="s">
        <v>174</v>
      </c>
      <c r="O15" s="72" t="s">
        <v>189</v>
      </c>
      <c r="P15" s="31" t="s">
        <v>172</v>
      </c>
      <c r="Q15" s="14" cm="1">
        <f t="array" ref="Q15">SUMPRODUCT(LEN(E15:N15)-LEN(SUBSTITUTE(E15:N15,"-","")))</f>
        <v>10</v>
      </c>
      <c r="R15" s="130">
        <f t="shared" si="1"/>
        <v>2.5</v>
      </c>
      <c r="S15" s="131" t="str" cm="1">
        <f t="array" ref="S15:T15">_xlfn.TEXTSPLIT(R15,".",)</f>
        <v>2</v>
      </c>
      <c r="T15" s="131" t="str">
        <v>5</v>
      </c>
      <c r="U15" s="15">
        <f t="shared" si="2"/>
        <v>80</v>
      </c>
      <c r="V15" s="15">
        <f t="shared" ref="V15:V37" si="14">IF(T15="25",0,(IF(T15="5",50,(IF(T15="75",25,0)))))</f>
        <v>50</v>
      </c>
      <c r="W15" s="14">
        <f t="shared" si="7"/>
        <v>0</v>
      </c>
      <c r="X15" s="15">
        <f t="shared" ref="X15:X37" si="15">IF(T15="25",75,100)</f>
        <v>100</v>
      </c>
      <c r="Y15" s="14">
        <f t="shared" si="8"/>
        <v>50</v>
      </c>
      <c r="Z15" s="32">
        <f t="shared" si="9"/>
        <v>0</v>
      </c>
      <c r="AA15" s="14">
        <f t="shared" si="10"/>
        <v>0.3010299956639812</v>
      </c>
      <c r="AB15" s="33">
        <f t="shared" si="11"/>
        <v>0</v>
      </c>
      <c r="AC15" s="33">
        <f t="shared" si="0"/>
        <v>1.9030899869919435</v>
      </c>
      <c r="AD15" s="33">
        <f t="shared" si="12"/>
        <v>1.9030899869919435</v>
      </c>
      <c r="AE15" s="34">
        <f t="shared" si="13"/>
        <v>80.000000000000043</v>
      </c>
      <c r="AF15" s="132">
        <f t="shared" si="5"/>
        <v>80</v>
      </c>
      <c r="AG15" s="15">
        <f t="shared" si="6"/>
        <v>80</v>
      </c>
    </row>
    <row r="16" spans="1:37" x14ac:dyDescent="0.2">
      <c r="A16" s="155" t="s">
        <v>190</v>
      </c>
      <c r="B16" s="16">
        <f>'MN layout (2x)'!C12</f>
        <v>9</v>
      </c>
      <c r="C16" s="17" t="str">
        <f>'MN layout (2x)'!A12</f>
        <v>1678-065_post_v3</v>
      </c>
      <c r="D16" s="11" t="str">
        <f>'MN layout (2x)'!B12</f>
        <v>1:20</v>
      </c>
      <c r="E16" s="18" t="s">
        <v>172</v>
      </c>
      <c r="F16" s="18" t="s">
        <v>172</v>
      </c>
      <c r="G16" s="18" t="s">
        <v>172</v>
      </c>
      <c r="H16" s="18" t="s">
        <v>172</v>
      </c>
      <c r="I16" s="18" t="s">
        <v>172</v>
      </c>
      <c r="J16" s="18" t="s">
        <v>179</v>
      </c>
      <c r="K16" s="18" t="s">
        <v>176</v>
      </c>
      <c r="L16" s="18" t="s">
        <v>180</v>
      </c>
      <c r="M16" s="18" t="s">
        <v>184</v>
      </c>
      <c r="N16" s="18" t="s">
        <v>174</v>
      </c>
      <c r="O16" s="18" t="s">
        <v>174</v>
      </c>
      <c r="P16" s="11" t="s">
        <v>172</v>
      </c>
      <c r="Q16" s="22" cm="1">
        <f t="array" ref="Q16">SUMPRODUCT(LEN(E16:N16)-LEN(SUBSTITUTE(E16:N16,"-","")))</f>
        <v>29</v>
      </c>
      <c r="R16" s="127">
        <f t="shared" si="1"/>
        <v>7.25</v>
      </c>
      <c r="S16" s="128" t="str" cm="1">
        <f t="array" ref="S16:T16">_xlfn.TEXTSPLIT(R16,".",)</f>
        <v>7</v>
      </c>
      <c r="T16" s="128" t="str">
        <v>25</v>
      </c>
      <c r="U16" s="12">
        <f t="shared" si="2"/>
        <v>1280</v>
      </c>
      <c r="V16" s="12">
        <f t="shared" si="14"/>
        <v>0</v>
      </c>
      <c r="W16" s="22">
        <f t="shared" si="7"/>
        <v>50</v>
      </c>
      <c r="X16" s="12">
        <f t="shared" si="15"/>
        <v>75</v>
      </c>
      <c r="Y16" s="22">
        <f t="shared" si="8"/>
        <v>75</v>
      </c>
      <c r="Z16" s="19">
        <f t="shared" si="9"/>
        <v>0.66666666666666663</v>
      </c>
      <c r="AA16" s="22">
        <f t="shared" si="10"/>
        <v>0.3010299956639812</v>
      </c>
      <c r="AB16" s="20">
        <f t="shared" si="11"/>
        <v>0.20068666377598746</v>
      </c>
      <c r="AC16" s="20">
        <f t="shared" si="0"/>
        <v>3.1072099696478683</v>
      </c>
      <c r="AD16" s="20">
        <f t="shared" si="12"/>
        <v>3.307896633423856</v>
      </c>
      <c r="AE16" s="21">
        <f t="shared" si="13"/>
        <v>2031.8733465192977</v>
      </c>
      <c r="AF16" s="129">
        <f t="shared" si="5"/>
        <v>2031.9</v>
      </c>
      <c r="AG16" s="12">
        <f t="shared" si="6"/>
        <v>2032</v>
      </c>
    </row>
    <row r="17" spans="1:33" s="35" customFormat="1" x14ac:dyDescent="0.2">
      <c r="A17" s="155"/>
      <c r="B17" s="29">
        <f>'MN layout (2x)'!C13</f>
        <v>10</v>
      </c>
      <c r="C17" s="30" t="str">
        <f>'MN layout (2x)'!A13</f>
        <v>1678-069 (008)_pv2</v>
      </c>
      <c r="D17" s="31" t="str">
        <f>'MN layout (2x)'!B13</f>
        <v>1:20</v>
      </c>
      <c r="E17" s="72" t="s">
        <v>172</v>
      </c>
      <c r="F17" s="72" t="s">
        <v>172</v>
      </c>
      <c r="G17" s="72" t="s">
        <v>172</v>
      </c>
      <c r="H17" s="72" t="s">
        <v>179</v>
      </c>
      <c r="I17" s="72" t="s">
        <v>187</v>
      </c>
      <c r="J17" s="72" t="s">
        <v>184</v>
      </c>
      <c r="K17" s="72" t="s">
        <v>187</v>
      </c>
      <c r="L17" s="72" t="s">
        <v>182</v>
      </c>
      <c r="M17" s="72" t="s">
        <v>174</v>
      </c>
      <c r="N17" s="72" t="s">
        <v>174</v>
      </c>
      <c r="O17" s="72" t="s">
        <v>184</v>
      </c>
      <c r="P17" s="31" t="s">
        <v>172</v>
      </c>
      <c r="Q17" s="14" cm="1">
        <f t="array" ref="Q17">SUMPRODUCT(LEN(E17:N17)-LEN(SUBSTITUTE(E17:N17,"-","")))</f>
        <v>22</v>
      </c>
      <c r="R17" s="130">
        <f t="shared" si="1"/>
        <v>5.5</v>
      </c>
      <c r="S17" s="131" t="str" cm="1">
        <f t="array" ref="S17:T17">_xlfn.TEXTSPLIT(R17,".",)</f>
        <v>5</v>
      </c>
      <c r="T17" s="131" t="str">
        <v>5</v>
      </c>
      <c r="U17" s="15">
        <f t="shared" si="2"/>
        <v>640</v>
      </c>
      <c r="V17" s="15">
        <f t="shared" si="14"/>
        <v>50</v>
      </c>
      <c r="W17" s="14">
        <f t="shared" si="7"/>
        <v>0</v>
      </c>
      <c r="X17" s="15">
        <f t="shared" si="15"/>
        <v>100</v>
      </c>
      <c r="Y17" s="14">
        <f t="shared" si="8"/>
        <v>50</v>
      </c>
      <c r="Z17" s="32">
        <f t="shared" si="9"/>
        <v>0</v>
      </c>
      <c r="AA17" s="14">
        <f t="shared" si="10"/>
        <v>0.3010299956639812</v>
      </c>
      <c r="AB17" s="33">
        <f t="shared" si="11"/>
        <v>0</v>
      </c>
      <c r="AC17" s="33">
        <f t="shared" si="0"/>
        <v>2.8061799739838871</v>
      </c>
      <c r="AD17" s="33">
        <f t="shared" si="12"/>
        <v>2.8061799739838871</v>
      </c>
      <c r="AE17" s="34">
        <f t="shared" si="13"/>
        <v>640.00000000000045</v>
      </c>
      <c r="AF17" s="132">
        <f t="shared" si="5"/>
        <v>640</v>
      </c>
      <c r="AG17" s="15">
        <f t="shared" si="6"/>
        <v>640</v>
      </c>
    </row>
    <row r="18" spans="1:33" x14ac:dyDescent="0.2">
      <c r="A18" s="155" t="s">
        <v>192</v>
      </c>
      <c r="B18" s="16">
        <f>'MN layout (2x)'!C14</f>
        <v>11</v>
      </c>
      <c r="C18" s="17" t="str">
        <f>'MN layout (2x)'!A14</f>
        <v>1678-069 (008)_M9</v>
      </c>
      <c r="D18" s="11" t="str">
        <f>'MN layout (2x)'!B14</f>
        <v>1:20</v>
      </c>
      <c r="E18" s="18" t="s">
        <v>177</v>
      </c>
      <c r="F18" s="18" t="s">
        <v>177</v>
      </c>
      <c r="G18" s="18" t="s">
        <v>181</v>
      </c>
      <c r="H18" s="18" t="s">
        <v>187</v>
      </c>
      <c r="I18" s="18" t="s">
        <v>185</v>
      </c>
      <c r="J18" s="18" t="s">
        <v>176</v>
      </c>
      <c r="K18" s="18" t="s">
        <v>181</v>
      </c>
      <c r="L18" s="18" t="s">
        <v>174</v>
      </c>
      <c r="M18" s="18" t="s">
        <v>173</v>
      </c>
      <c r="N18" s="18" t="s">
        <v>174</v>
      </c>
      <c r="O18" s="18" t="s">
        <v>174</v>
      </c>
      <c r="P18" s="11" t="s">
        <v>172</v>
      </c>
      <c r="Q18" s="22" cm="1">
        <f t="array" ref="Q18">SUMPRODUCT(LEN(E18:N18)-LEN(SUBSTITUTE(E18:N18,"-","")))</f>
        <v>15</v>
      </c>
      <c r="R18" s="127">
        <f t="shared" si="1"/>
        <v>3.75</v>
      </c>
      <c r="S18" s="128" t="str" cm="1">
        <f t="array" ref="S18:T18">_xlfn.TEXTSPLIT(R18,".",)</f>
        <v>3</v>
      </c>
      <c r="T18" s="128" t="str">
        <v>75</v>
      </c>
      <c r="U18" s="12">
        <f t="shared" si="2"/>
        <v>160</v>
      </c>
      <c r="V18" s="12">
        <f t="shared" si="14"/>
        <v>25</v>
      </c>
      <c r="W18" s="22">
        <f t="shared" si="7"/>
        <v>25</v>
      </c>
      <c r="X18" s="12">
        <f t="shared" si="15"/>
        <v>100</v>
      </c>
      <c r="Y18" s="22">
        <f t="shared" si="8"/>
        <v>75</v>
      </c>
      <c r="Z18" s="19">
        <f t="shared" si="9"/>
        <v>0.33333333333333331</v>
      </c>
      <c r="AA18" s="22">
        <f t="shared" si="10"/>
        <v>0.3010299956639812</v>
      </c>
      <c r="AB18" s="20">
        <f t="shared" si="11"/>
        <v>0.10034333188799373</v>
      </c>
      <c r="AC18" s="20">
        <f t="shared" si="0"/>
        <v>2.2041199826559246</v>
      </c>
      <c r="AD18" s="20">
        <f t="shared" si="12"/>
        <v>2.3044633145439182</v>
      </c>
      <c r="AE18" s="21">
        <f t="shared" si="13"/>
        <v>201.58736798317958</v>
      </c>
      <c r="AF18" s="129">
        <f t="shared" si="5"/>
        <v>201.6</v>
      </c>
      <c r="AG18" s="12">
        <f t="shared" si="6"/>
        <v>202</v>
      </c>
    </row>
    <row r="19" spans="1:33" s="35" customFormat="1" x14ac:dyDescent="0.2">
      <c r="A19" s="155"/>
      <c r="B19" s="29">
        <f>'MN layout (2x)'!C15</f>
        <v>12</v>
      </c>
      <c r="C19" s="30" t="str">
        <f>'MN layout (2x)'!A15</f>
        <v>1678-070 (043)_pv2</v>
      </c>
      <c r="D19" s="31" t="str">
        <f>'MN layout (2x)'!B15</f>
        <v>1:20</v>
      </c>
      <c r="E19" s="72" t="s">
        <v>172</v>
      </c>
      <c r="F19" s="72" t="s">
        <v>185</v>
      </c>
      <c r="G19" s="72" t="s">
        <v>175</v>
      </c>
      <c r="H19" s="72" t="s">
        <v>187</v>
      </c>
      <c r="I19" s="72" t="s">
        <v>179</v>
      </c>
      <c r="J19" s="72" t="s">
        <v>177</v>
      </c>
      <c r="K19" s="72" t="s">
        <v>174</v>
      </c>
      <c r="L19" s="72" t="s">
        <v>174</v>
      </c>
      <c r="M19" s="72" t="s">
        <v>174</v>
      </c>
      <c r="N19" s="72" t="s">
        <v>174</v>
      </c>
      <c r="O19" s="31" t="s">
        <v>174</v>
      </c>
      <c r="P19" s="31" t="s">
        <v>172</v>
      </c>
      <c r="Q19" s="14" cm="1">
        <f t="array" ref="Q19">SUMPRODUCT(LEN(E19:N19)-LEN(SUBSTITUTE(E19:N19,"-","")))</f>
        <v>17</v>
      </c>
      <c r="R19" s="130">
        <f t="shared" si="1"/>
        <v>4.25</v>
      </c>
      <c r="S19" s="131" t="str" cm="1">
        <f t="array" ref="S19:T19">_xlfn.TEXTSPLIT(R19,".",)</f>
        <v>4</v>
      </c>
      <c r="T19" s="131" t="str">
        <v>25</v>
      </c>
      <c r="U19" s="15">
        <f t="shared" si="2"/>
        <v>160</v>
      </c>
      <c r="V19" s="15">
        <f t="shared" si="14"/>
        <v>0</v>
      </c>
      <c r="W19" s="14">
        <f t="shared" si="7"/>
        <v>50</v>
      </c>
      <c r="X19" s="15">
        <f t="shared" si="15"/>
        <v>75</v>
      </c>
      <c r="Y19" s="14">
        <f t="shared" si="8"/>
        <v>75</v>
      </c>
      <c r="Z19" s="32">
        <f t="shared" si="9"/>
        <v>0.66666666666666663</v>
      </c>
      <c r="AA19" s="14">
        <f t="shared" si="10"/>
        <v>0.3010299956639812</v>
      </c>
      <c r="AB19" s="33">
        <f t="shared" si="11"/>
        <v>0.20068666377598746</v>
      </c>
      <c r="AC19" s="33">
        <f t="shared" si="0"/>
        <v>2.2041199826559246</v>
      </c>
      <c r="AD19" s="33">
        <f t="shared" si="12"/>
        <v>2.4048066464319122</v>
      </c>
      <c r="AE19" s="34">
        <f t="shared" si="13"/>
        <v>253.98416831491193</v>
      </c>
      <c r="AF19" s="132">
        <f t="shared" si="5"/>
        <v>254</v>
      </c>
      <c r="AG19" s="15">
        <f t="shared" si="6"/>
        <v>254</v>
      </c>
    </row>
    <row r="20" spans="1:33" x14ac:dyDescent="0.2">
      <c r="A20" s="155" t="s">
        <v>193</v>
      </c>
      <c r="B20" s="16">
        <f>'MN layout (2x)'!C16</f>
        <v>13</v>
      </c>
      <c r="C20" s="17" t="str">
        <f>'MN layout (2x)'!A16</f>
        <v>1678-070 (043)_post_v3</v>
      </c>
      <c r="D20" s="11" t="str">
        <f>'MN layout (2x)'!B16</f>
        <v>1:20</v>
      </c>
      <c r="E20" s="18" t="s">
        <v>172</v>
      </c>
      <c r="F20" s="18" t="s">
        <v>172</v>
      </c>
      <c r="G20" s="18" t="s">
        <v>172</v>
      </c>
      <c r="H20" s="18" t="s">
        <v>172</v>
      </c>
      <c r="I20" s="18" t="s">
        <v>172</v>
      </c>
      <c r="J20" s="18" t="s">
        <v>175</v>
      </c>
      <c r="K20" s="18" t="s">
        <v>187</v>
      </c>
      <c r="L20" s="18" t="s">
        <v>189</v>
      </c>
      <c r="M20" s="18" t="s">
        <v>173</v>
      </c>
      <c r="N20" s="18" t="s">
        <v>189</v>
      </c>
      <c r="O20" s="18" t="s">
        <v>174</v>
      </c>
      <c r="P20" s="11" t="s">
        <v>172</v>
      </c>
      <c r="Q20" s="22" cm="1">
        <f t="array" ref="Q20">SUMPRODUCT(LEN(E20:N20)-LEN(SUBSTITUTE(E20:N20,"-","")))</f>
        <v>28</v>
      </c>
      <c r="R20" s="127">
        <f t="shared" si="1"/>
        <v>7</v>
      </c>
      <c r="S20" s="128" t="str" cm="1">
        <f t="array" ref="S20">_xlfn.TEXTSPLIT(R20,".",)</f>
        <v>7</v>
      </c>
      <c r="T20" s="128"/>
      <c r="U20" s="12">
        <f t="shared" si="2"/>
        <v>1280</v>
      </c>
      <c r="V20" s="12">
        <f t="shared" si="14"/>
        <v>0</v>
      </c>
      <c r="W20" s="22">
        <f t="shared" si="7"/>
        <v>50</v>
      </c>
      <c r="X20" s="12">
        <f t="shared" si="15"/>
        <v>100</v>
      </c>
      <c r="Y20" s="22">
        <f t="shared" si="8"/>
        <v>100</v>
      </c>
      <c r="Z20" s="19">
        <f t="shared" si="9"/>
        <v>0.5</v>
      </c>
      <c r="AA20" s="22">
        <f t="shared" si="10"/>
        <v>0.3010299956639812</v>
      </c>
      <c r="AB20" s="20">
        <f t="shared" si="11"/>
        <v>0.1505149978319906</v>
      </c>
      <c r="AC20" s="20">
        <f t="shared" si="0"/>
        <v>3.1072099696478683</v>
      </c>
      <c r="AD20" s="20">
        <f t="shared" si="12"/>
        <v>3.257724967479859</v>
      </c>
      <c r="AE20" s="21">
        <f t="shared" si="13"/>
        <v>1810.1933598375633</v>
      </c>
      <c r="AF20" s="129">
        <f t="shared" si="5"/>
        <v>1810.2</v>
      </c>
      <c r="AG20" s="12">
        <f t="shared" si="6"/>
        <v>1810</v>
      </c>
    </row>
    <row r="21" spans="1:33" s="35" customFormat="1" x14ac:dyDescent="0.2">
      <c r="A21" s="155"/>
      <c r="B21" s="29">
        <f>'MN layout (2x)'!C17</f>
        <v>14</v>
      </c>
      <c r="C21" s="30" t="str">
        <f>'MN layout (2x)'!A17</f>
        <v>1678-074_pv2</v>
      </c>
      <c r="D21" s="31" t="str">
        <f>'MN layout (2x)'!B17</f>
        <v>1:20</v>
      </c>
      <c r="E21" s="72" t="s">
        <v>172</v>
      </c>
      <c r="F21" s="72" t="s">
        <v>176</v>
      </c>
      <c r="G21" s="72" t="s">
        <v>181</v>
      </c>
      <c r="H21" s="72" t="s">
        <v>174</v>
      </c>
      <c r="I21" s="72" t="s">
        <v>174</v>
      </c>
      <c r="J21" s="72" t="s">
        <v>174</v>
      </c>
      <c r="K21" s="72" t="s">
        <v>174</v>
      </c>
      <c r="L21" s="72" t="s">
        <v>184</v>
      </c>
      <c r="M21" s="72" t="s">
        <v>173</v>
      </c>
      <c r="N21" s="72" t="s">
        <v>174</v>
      </c>
      <c r="O21" s="31" t="s">
        <v>174</v>
      </c>
      <c r="P21" s="31" t="s">
        <v>172</v>
      </c>
      <c r="Q21" s="14" cm="1">
        <f t="array" ref="Q21">SUMPRODUCT(LEN(E21:N21)-LEN(SUBSTITUTE(E21:N21,"-","")))</f>
        <v>10</v>
      </c>
      <c r="R21" s="130">
        <f t="shared" si="1"/>
        <v>2.5</v>
      </c>
      <c r="S21" s="131" t="str" cm="1">
        <f t="array" ref="S21:T21">_xlfn.TEXTSPLIT(R21,".",)</f>
        <v>2</v>
      </c>
      <c r="T21" s="131" t="str">
        <v>5</v>
      </c>
      <c r="U21" s="15">
        <f t="shared" si="2"/>
        <v>80</v>
      </c>
      <c r="V21" s="15">
        <f t="shared" si="14"/>
        <v>50</v>
      </c>
      <c r="W21" s="14">
        <f t="shared" si="7"/>
        <v>0</v>
      </c>
      <c r="X21" s="15">
        <f t="shared" si="15"/>
        <v>100</v>
      </c>
      <c r="Y21" s="14">
        <f t="shared" si="8"/>
        <v>50</v>
      </c>
      <c r="Z21" s="32">
        <f t="shared" si="9"/>
        <v>0</v>
      </c>
      <c r="AA21" s="14">
        <f t="shared" si="10"/>
        <v>0.3010299956639812</v>
      </c>
      <c r="AB21" s="33">
        <f t="shared" si="11"/>
        <v>0</v>
      </c>
      <c r="AC21" s="33">
        <f t="shared" si="0"/>
        <v>1.9030899869919435</v>
      </c>
      <c r="AD21" s="33">
        <f t="shared" si="12"/>
        <v>1.9030899869919435</v>
      </c>
      <c r="AE21" s="34">
        <f t="shared" si="13"/>
        <v>80.000000000000043</v>
      </c>
      <c r="AF21" s="132">
        <f t="shared" si="5"/>
        <v>80</v>
      </c>
      <c r="AG21" s="15">
        <f t="shared" si="6"/>
        <v>80</v>
      </c>
    </row>
    <row r="22" spans="1:33" x14ac:dyDescent="0.2">
      <c r="A22" s="155" t="s">
        <v>194</v>
      </c>
      <c r="B22" s="16">
        <f>'MN layout (2x)'!C18</f>
        <v>15</v>
      </c>
      <c r="C22" s="17" t="str">
        <f>'MN layout (2x)'!A18</f>
        <v>1678-074_post_v3</v>
      </c>
      <c r="D22" s="11" t="str">
        <f>'MN layout (2x)'!B18</f>
        <v>1:20</v>
      </c>
      <c r="E22" s="18" t="s">
        <v>172</v>
      </c>
      <c r="F22" s="18" t="s">
        <v>172</v>
      </c>
      <c r="G22" s="18" t="s">
        <v>172</v>
      </c>
      <c r="H22" s="18" t="s">
        <v>172</v>
      </c>
      <c r="I22" s="18" t="s">
        <v>172</v>
      </c>
      <c r="J22" s="18" t="s">
        <v>176</v>
      </c>
      <c r="K22" s="18" t="s">
        <v>187</v>
      </c>
      <c r="L22" s="18" t="s">
        <v>186</v>
      </c>
      <c r="M22" s="18" t="s">
        <v>174</v>
      </c>
      <c r="N22" s="18" t="s">
        <v>173</v>
      </c>
      <c r="O22" s="18" t="s">
        <v>181</v>
      </c>
      <c r="P22" s="11" t="s">
        <v>172</v>
      </c>
      <c r="Q22" s="22" cm="1">
        <f t="array" ref="Q22">SUMPRODUCT(LEN(E22:N22)-LEN(SUBSTITUTE(E22:N22,"-","")))</f>
        <v>28</v>
      </c>
      <c r="R22" s="127">
        <f t="shared" si="1"/>
        <v>7</v>
      </c>
      <c r="S22" s="128" t="str" cm="1">
        <f t="array" ref="S22">_xlfn.TEXTSPLIT(R22,".",)</f>
        <v>7</v>
      </c>
      <c r="T22" s="128"/>
      <c r="U22" s="12">
        <f t="shared" si="2"/>
        <v>1280</v>
      </c>
      <c r="V22" s="12">
        <f t="shared" si="14"/>
        <v>0</v>
      </c>
      <c r="W22" s="22">
        <f t="shared" si="7"/>
        <v>50</v>
      </c>
      <c r="X22" s="12">
        <f t="shared" si="15"/>
        <v>100</v>
      </c>
      <c r="Y22" s="22">
        <f t="shared" si="8"/>
        <v>100</v>
      </c>
      <c r="Z22" s="19">
        <f t="shared" si="9"/>
        <v>0.5</v>
      </c>
      <c r="AA22" s="22">
        <f t="shared" si="10"/>
        <v>0.3010299956639812</v>
      </c>
      <c r="AB22" s="20">
        <f t="shared" si="11"/>
        <v>0.1505149978319906</v>
      </c>
      <c r="AC22" s="20">
        <f t="shared" si="0"/>
        <v>3.1072099696478683</v>
      </c>
      <c r="AD22" s="20">
        <f t="shared" si="12"/>
        <v>3.257724967479859</v>
      </c>
      <c r="AE22" s="21">
        <f t="shared" si="13"/>
        <v>1810.1933598375633</v>
      </c>
      <c r="AF22" s="129">
        <f t="shared" si="5"/>
        <v>1810.2</v>
      </c>
      <c r="AG22" s="12">
        <f t="shared" si="6"/>
        <v>1810</v>
      </c>
    </row>
    <row r="23" spans="1:33" s="35" customFormat="1" x14ac:dyDescent="0.2">
      <c r="A23" s="155"/>
      <c r="B23" s="29">
        <f>'MN layout (2x)'!C19</f>
        <v>16</v>
      </c>
      <c r="C23" s="30" t="str">
        <f>'MN layout (2x)'!A19</f>
        <v>1678-097_pv2</v>
      </c>
      <c r="D23" s="31" t="str">
        <f>'MN layout (2x)'!B19</f>
        <v>1:20</v>
      </c>
      <c r="E23" s="72" t="s">
        <v>172</v>
      </c>
      <c r="F23" s="72" t="s">
        <v>172</v>
      </c>
      <c r="G23" s="72" t="s">
        <v>172</v>
      </c>
      <c r="H23" s="72" t="s">
        <v>191</v>
      </c>
      <c r="I23" s="72" t="s">
        <v>180</v>
      </c>
      <c r="J23" s="72" t="s">
        <v>174</v>
      </c>
      <c r="K23" s="72" t="s">
        <v>174</v>
      </c>
      <c r="L23" s="72" t="s">
        <v>174</v>
      </c>
      <c r="M23" s="72" t="s">
        <v>174</v>
      </c>
      <c r="N23" s="72" t="s">
        <v>181</v>
      </c>
      <c r="O23" s="31" t="s">
        <v>174</v>
      </c>
      <c r="P23" s="31" t="s">
        <v>172</v>
      </c>
      <c r="Q23" s="14" cm="1">
        <f t="array" ref="Q23">SUMPRODUCT(LEN(E23:N23)-LEN(SUBSTITUTE(E23:N23,"-","")))</f>
        <v>17</v>
      </c>
      <c r="R23" s="130">
        <f t="shared" si="1"/>
        <v>4.25</v>
      </c>
      <c r="S23" s="131" t="str" cm="1">
        <f t="array" ref="S23:T23">_xlfn.TEXTSPLIT(R23,".",)</f>
        <v>4</v>
      </c>
      <c r="T23" s="131" t="str">
        <v>25</v>
      </c>
      <c r="U23" s="15">
        <f t="shared" si="2"/>
        <v>160</v>
      </c>
      <c r="V23" s="15">
        <f t="shared" si="14"/>
        <v>0</v>
      </c>
      <c r="W23" s="14">
        <f t="shared" si="7"/>
        <v>50</v>
      </c>
      <c r="X23" s="15">
        <f t="shared" si="15"/>
        <v>75</v>
      </c>
      <c r="Y23" s="14">
        <f t="shared" si="8"/>
        <v>75</v>
      </c>
      <c r="Z23" s="32">
        <f t="shared" si="9"/>
        <v>0.66666666666666663</v>
      </c>
      <c r="AA23" s="14">
        <f t="shared" si="10"/>
        <v>0.3010299956639812</v>
      </c>
      <c r="AB23" s="33">
        <f t="shared" si="11"/>
        <v>0.20068666377598746</v>
      </c>
      <c r="AC23" s="33">
        <f t="shared" si="0"/>
        <v>2.2041199826559246</v>
      </c>
      <c r="AD23" s="33">
        <f t="shared" si="12"/>
        <v>2.4048066464319122</v>
      </c>
      <c r="AE23" s="34">
        <f t="shared" si="13"/>
        <v>253.98416831491193</v>
      </c>
      <c r="AF23" s="132">
        <f t="shared" si="5"/>
        <v>254</v>
      </c>
      <c r="AG23" s="15">
        <f t="shared" si="6"/>
        <v>254</v>
      </c>
    </row>
    <row r="24" spans="1:33" x14ac:dyDescent="0.2">
      <c r="A24" s="155" t="s">
        <v>195</v>
      </c>
      <c r="B24" s="16">
        <f>'MN layout (2x)'!C20</f>
        <v>17</v>
      </c>
      <c r="C24" s="17" t="str">
        <f>'MN layout (2x)'!A20</f>
        <v>1678-097_post_v3</v>
      </c>
      <c r="D24" s="11" t="str">
        <f>'MN layout (2x)'!B20</f>
        <v>1:20</v>
      </c>
      <c r="E24" s="18" t="s">
        <v>172</v>
      </c>
      <c r="F24" s="18" t="s">
        <v>172</v>
      </c>
      <c r="G24" s="18" t="s">
        <v>172</v>
      </c>
      <c r="H24" s="18" t="s">
        <v>172</v>
      </c>
      <c r="I24" s="18" t="s">
        <v>187</v>
      </c>
      <c r="J24" s="18" t="s">
        <v>177</v>
      </c>
      <c r="K24" s="18" t="s">
        <v>174</v>
      </c>
      <c r="L24" s="18" t="s">
        <v>191</v>
      </c>
      <c r="M24" s="18" t="s">
        <v>174</v>
      </c>
      <c r="N24" s="18" t="s">
        <v>184</v>
      </c>
      <c r="O24" s="18" t="s">
        <v>174</v>
      </c>
      <c r="P24" s="11" t="s">
        <v>172</v>
      </c>
      <c r="Q24" s="22" cm="1">
        <f t="array" ref="Q24">SUMPRODUCT(LEN(E24:N24)-LEN(SUBSTITUTE(E24:N24,"-","")))</f>
        <v>23</v>
      </c>
      <c r="R24" s="127">
        <f t="shared" si="1"/>
        <v>5.75</v>
      </c>
      <c r="S24" s="128" t="str" cm="1">
        <f t="array" ref="S24:T24">_xlfn.TEXTSPLIT(R24,".",)</f>
        <v>5</v>
      </c>
      <c r="T24" s="128" t="str">
        <v>75</v>
      </c>
      <c r="U24" s="12">
        <f t="shared" si="2"/>
        <v>640</v>
      </c>
      <c r="V24" s="12">
        <f t="shared" si="14"/>
        <v>25</v>
      </c>
      <c r="W24" s="22">
        <f t="shared" si="7"/>
        <v>25</v>
      </c>
      <c r="X24" s="12">
        <f t="shared" si="15"/>
        <v>100</v>
      </c>
      <c r="Y24" s="22">
        <f t="shared" si="8"/>
        <v>75</v>
      </c>
      <c r="Z24" s="19">
        <f t="shared" si="9"/>
        <v>0.33333333333333331</v>
      </c>
      <c r="AA24" s="22">
        <f t="shared" si="10"/>
        <v>0.3010299956639812</v>
      </c>
      <c r="AB24" s="20">
        <f t="shared" si="11"/>
        <v>0.10034333188799373</v>
      </c>
      <c r="AC24" s="20">
        <f t="shared" si="0"/>
        <v>2.8061799739838871</v>
      </c>
      <c r="AD24" s="20">
        <f t="shared" si="12"/>
        <v>2.9065233058718807</v>
      </c>
      <c r="AE24" s="21">
        <f t="shared" si="13"/>
        <v>806.34947193271921</v>
      </c>
      <c r="AF24" s="129">
        <f t="shared" si="5"/>
        <v>806.3</v>
      </c>
      <c r="AG24" s="12">
        <f t="shared" si="6"/>
        <v>806</v>
      </c>
    </row>
    <row r="25" spans="1:33" s="35" customFormat="1" x14ac:dyDescent="0.2">
      <c r="A25" s="155"/>
      <c r="B25" s="29">
        <f>'MN layout (2x)'!C21</f>
        <v>18</v>
      </c>
      <c r="C25" s="30" t="str">
        <f>'MN layout (2x)'!A21</f>
        <v>1678-044(101)_post_inf_visit</v>
      </c>
      <c r="D25" s="31" t="str">
        <f>'MN layout (2x)'!B21</f>
        <v>1:20</v>
      </c>
      <c r="E25" s="72" t="s">
        <v>172</v>
      </c>
      <c r="F25" s="72" t="s">
        <v>172</v>
      </c>
      <c r="G25" s="72" t="s">
        <v>172</v>
      </c>
      <c r="H25" s="72" t="s">
        <v>172</v>
      </c>
      <c r="I25" s="72" t="s">
        <v>172</v>
      </c>
      <c r="J25" s="72" t="s">
        <v>175</v>
      </c>
      <c r="K25" s="72" t="s">
        <v>175</v>
      </c>
      <c r="L25" s="72" t="s">
        <v>184</v>
      </c>
      <c r="M25" s="72" t="s">
        <v>177</v>
      </c>
      <c r="N25" s="72" t="s">
        <v>189</v>
      </c>
      <c r="O25" s="31" t="s">
        <v>174</v>
      </c>
      <c r="P25" s="31" t="s">
        <v>172</v>
      </c>
      <c r="Q25" s="14" cm="1">
        <f t="array" ref="Q25">SUMPRODUCT(LEN(E25:N25)-LEN(SUBSTITUTE(E25:N25,"-","")))</f>
        <v>30</v>
      </c>
      <c r="R25" s="130">
        <f t="shared" si="1"/>
        <v>7.5</v>
      </c>
      <c r="S25" s="131" t="str" cm="1">
        <f t="array" ref="S25:T25">_xlfn.TEXTSPLIT(R25,".",)</f>
        <v>7</v>
      </c>
      <c r="T25" s="131" t="str">
        <v>5</v>
      </c>
      <c r="U25" s="15">
        <f t="shared" si="2"/>
        <v>2560</v>
      </c>
      <c r="V25" s="15">
        <f t="shared" si="14"/>
        <v>50</v>
      </c>
      <c r="W25" s="14">
        <f t="shared" si="7"/>
        <v>0</v>
      </c>
      <c r="X25" s="15">
        <f t="shared" si="15"/>
        <v>100</v>
      </c>
      <c r="Y25" s="14">
        <f t="shared" si="8"/>
        <v>50</v>
      </c>
      <c r="Z25" s="32">
        <f t="shared" si="9"/>
        <v>0</v>
      </c>
      <c r="AA25" s="14">
        <f t="shared" si="10"/>
        <v>0.3010299956639812</v>
      </c>
      <c r="AB25" s="33">
        <f t="shared" si="11"/>
        <v>0</v>
      </c>
      <c r="AC25" s="33">
        <f t="shared" si="0"/>
        <v>3.4082399653118496</v>
      </c>
      <c r="AD25" s="33">
        <f t="shared" si="12"/>
        <v>3.4082399653118496</v>
      </c>
      <c r="AE25" s="34">
        <f t="shared" si="13"/>
        <v>2560.0000000000023</v>
      </c>
      <c r="AF25" s="132">
        <f t="shared" si="5"/>
        <v>2560</v>
      </c>
      <c r="AG25" s="15">
        <f t="shared" si="6"/>
        <v>2560</v>
      </c>
    </row>
    <row r="26" spans="1:33" x14ac:dyDescent="0.2">
      <c r="A26" s="155" t="s">
        <v>196</v>
      </c>
      <c r="B26" s="16">
        <f>'MN layout (2x)'!C22</f>
        <v>19</v>
      </c>
      <c r="C26" s="17" t="str">
        <f>'MN layout (2x)'!A22</f>
        <v>1678-061(117)_post_inf_visit</v>
      </c>
      <c r="D26" s="11" t="str">
        <f>'MN layout (2x)'!B22</f>
        <v>1:20</v>
      </c>
      <c r="E26" s="18" t="s">
        <v>172</v>
      </c>
      <c r="F26" s="18" t="s">
        <v>172</v>
      </c>
      <c r="G26" s="18" t="s">
        <v>172</v>
      </c>
      <c r="H26" s="18" t="s">
        <v>172</v>
      </c>
      <c r="I26" s="18" t="s">
        <v>172</v>
      </c>
      <c r="J26" s="18" t="s">
        <v>179</v>
      </c>
      <c r="K26" s="18" t="s">
        <v>184</v>
      </c>
      <c r="L26" s="18" t="s">
        <v>173</v>
      </c>
      <c r="M26" s="18" t="s">
        <v>174</v>
      </c>
      <c r="N26" s="18" t="s">
        <v>174</v>
      </c>
      <c r="O26" s="18" t="s">
        <v>174</v>
      </c>
      <c r="P26" s="11" t="s">
        <v>172</v>
      </c>
      <c r="Q26" s="22" cm="1">
        <f t="array" ref="Q26">SUMPRODUCT(LEN(E26:N26)-LEN(SUBSTITUTE(E26:N26,"-","")))</f>
        <v>25</v>
      </c>
      <c r="R26" s="127">
        <f t="shared" si="1"/>
        <v>6.25</v>
      </c>
      <c r="S26" s="128" t="str" cm="1">
        <f t="array" ref="S26:T26">_xlfn.TEXTSPLIT(R26,".",)</f>
        <v>6</v>
      </c>
      <c r="T26" s="128" t="str">
        <v>25</v>
      </c>
      <c r="U26" s="12">
        <f t="shared" si="2"/>
        <v>640</v>
      </c>
      <c r="V26" s="12">
        <f t="shared" si="14"/>
        <v>0</v>
      </c>
      <c r="W26" s="22">
        <f t="shared" si="7"/>
        <v>50</v>
      </c>
      <c r="X26" s="12">
        <f t="shared" si="15"/>
        <v>75</v>
      </c>
      <c r="Y26" s="22">
        <f t="shared" si="8"/>
        <v>75</v>
      </c>
      <c r="Z26" s="19">
        <f t="shared" si="9"/>
        <v>0.66666666666666663</v>
      </c>
      <c r="AA26" s="22">
        <f t="shared" si="10"/>
        <v>0.3010299956639812</v>
      </c>
      <c r="AB26" s="20">
        <f t="shared" si="11"/>
        <v>0.20068666377598746</v>
      </c>
      <c r="AC26" s="20">
        <f t="shared" si="0"/>
        <v>2.8061799739838871</v>
      </c>
      <c r="AD26" s="20">
        <f t="shared" si="12"/>
        <v>3.0068666377598747</v>
      </c>
      <c r="AE26" s="21">
        <f t="shared" si="13"/>
        <v>1015.9366732596487</v>
      </c>
      <c r="AF26" s="129">
        <f t="shared" si="5"/>
        <v>1015.9</v>
      </c>
      <c r="AG26" s="12">
        <f t="shared" si="6"/>
        <v>1016</v>
      </c>
    </row>
    <row r="27" spans="1:33" s="35" customFormat="1" x14ac:dyDescent="0.2">
      <c r="A27" s="155"/>
      <c r="B27" s="29">
        <f>'MN layout (2x)'!C23</f>
        <v>20</v>
      </c>
      <c r="C27" s="30" t="str">
        <f>'MN layout (2x)'!A23</f>
        <v>1678-066(122)_post_inf_visit</v>
      </c>
      <c r="D27" s="31" t="str">
        <f>'MN layout (2x)'!B23</f>
        <v>1:20</v>
      </c>
      <c r="E27" s="72" t="s">
        <v>172</v>
      </c>
      <c r="F27" s="72" t="s">
        <v>172</v>
      </c>
      <c r="G27" s="72" t="s">
        <v>172</v>
      </c>
      <c r="H27" s="72" t="s">
        <v>172</v>
      </c>
      <c r="I27" s="72" t="s">
        <v>174</v>
      </c>
      <c r="J27" s="72" t="s">
        <v>174</v>
      </c>
      <c r="K27" s="72" t="s">
        <v>184</v>
      </c>
      <c r="L27" s="72" t="s">
        <v>174</v>
      </c>
      <c r="M27" s="72" t="s">
        <v>189</v>
      </c>
      <c r="N27" s="72" t="s">
        <v>184</v>
      </c>
      <c r="O27" s="31" t="s">
        <v>174</v>
      </c>
      <c r="P27" s="31" t="s">
        <v>172</v>
      </c>
      <c r="Q27" s="14" cm="1">
        <f t="array" ref="Q27">SUMPRODUCT(LEN(E27:N27)-LEN(SUBSTITUTE(E27:N27,"-","")))</f>
        <v>19</v>
      </c>
      <c r="R27" s="130">
        <f t="shared" si="1"/>
        <v>4.75</v>
      </c>
      <c r="S27" s="131" t="str" cm="1">
        <f t="array" ref="S27:T27">_xlfn.TEXTSPLIT(R27,".",)</f>
        <v>4</v>
      </c>
      <c r="T27" s="131" t="str">
        <v>75</v>
      </c>
      <c r="U27" s="15">
        <f t="shared" si="2"/>
        <v>320</v>
      </c>
      <c r="V27" s="15">
        <f t="shared" si="14"/>
        <v>25</v>
      </c>
      <c r="W27" s="14">
        <f t="shared" si="7"/>
        <v>25</v>
      </c>
      <c r="X27" s="15">
        <f t="shared" si="15"/>
        <v>100</v>
      </c>
      <c r="Y27" s="14">
        <f t="shared" si="8"/>
        <v>75</v>
      </c>
      <c r="Z27" s="32">
        <f t="shared" si="9"/>
        <v>0.33333333333333331</v>
      </c>
      <c r="AA27" s="14">
        <f t="shared" si="10"/>
        <v>0.3010299956639812</v>
      </c>
      <c r="AB27" s="33">
        <f t="shared" si="11"/>
        <v>0.10034333188799373</v>
      </c>
      <c r="AC27" s="33">
        <f t="shared" si="0"/>
        <v>2.5051499783199058</v>
      </c>
      <c r="AD27" s="33">
        <f t="shared" si="12"/>
        <v>2.6054933102078994</v>
      </c>
      <c r="AE27" s="34">
        <f t="shared" si="13"/>
        <v>403.17473596635921</v>
      </c>
      <c r="AF27" s="132">
        <f t="shared" si="5"/>
        <v>403.2</v>
      </c>
      <c r="AG27" s="15">
        <f t="shared" si="6"/>
        <v>403</v>
      </c>
    </row>
    <row r="28" spans="1:33" x14ac:dyDescent="0.2">
      <c r="A28" s="155" t="s">
        <v>197</v>
      </c>
      <c r="B28" s="16">
        <f>'MN layout (2x)'!C24</f>
        <v>21</v>
      </c>
      <c r="C28" s="17" t="str">
        <f>'MN layout (2x)'!A24</f>
        <v>1678-070(126)_post_inf_visit</v>
      </c>
      <c r="D28" s="11" t="str">
        <f>'MN layout (2x)'!B24</f>
        <v>1:20</v>
      </c>
      <c r="E28" s="18" t="s">
        <v>172</v>
      </c>
      <c r="F28" s="18" t="s">
        <v>172</v>
      </c>
      <c r="G28" s="18" t="s">
        <v>172</v>
      </c>
      <c r="H28" s="18" t="s">
        <v>172</v>
      </c>
      <c r="I28" s="18" t="s">
        <v>179</v>
      </c>
      <c r="J28" s="18" t="s">
        <v>182</v>
      </c>
      <c r="K28" s="18" t="s">
        <v>174</v>
      </c>
      <c r="L28" s="18" t="s">
        <v>174</v>
      </c>
      <c r="M28" s="18" t="s">
        <v>174</v>
      </c>
      <c r="N28" s="18" t="s">
        <v>174</v>
      </c>
      <c r="O28" s="18" t="s">
        <v>189</v>
      </c>
      <c r="P28" s="11" t="s">
        <v>172</v>
      </c>
      <c r="Q28" s="22" cm="1">
        <f t="array" ref="Q28">SUMPRODUCT(LEN(E28:N28)-LEN(SUBSTITUTE(E28:N28,"-","")))</f>
        <v>21</v>
      </c>
      <c r="R28" s="127">
        <f t="shared" si="1"/>
        <v>5.25</v>
      </c>
      <c r="S28" s="128" t="str" cm="1">
        <f t="array" ref="S28:T28">_xlfn.TEXTSPLIT(R28,".",)</f>
        <v>5</v>
      </c>
      <c r="T28" s="128" t="str">
        <v>25</v>
      </c>
      <c r="U28" s="12">
        <f t="shared" si="2"/>
        <v>320</v>
      </c>
      <c r="V28" s="12">
        <f t="shared" si="14"/>
        <v>0</v>
      </c>
      <c r="W28" s="22">
        <f t="shared" si="7"/>
        <v>50</v>
      </c>
      <c r="X28" s="12">
        <f t="shared" si="15"/>
        <v>75</v>
      </c>
      <c r="Y28" s="22">
        <f t="shared" si="8"/>
        <v>75</v>
      </c>
      <c r="Z28" s="19">
        <f t="shared" si="9"/>
        <v>0.66666666666666663</v>
      </c>
      <c r="AA28" s="22">
        <f t="shared" si="10"/>
        <v>0.3010299956639812</v>
      </c>
      <c r="AB28" s="20">
        <f t="shared" si="11"/>
        <v>0.20068666377598746</v>
      </c>
      <c r="AC28" s="20">
        <f t="shared" si="0"/>
        <v>2.5051499783199058</v>
      </c>
      <c r="AD28" s="20">
        <f t="shared" si="12"/>
        <v>2.7058366420958935</v>
      </c>
      <c r="AE28" s="21">
        <f t="shared" si="13"/>
        <v>507.96833662982436</v>
      </c>
      <c r="AF28" s="129">
        <f t="shared" si="5"/>
        <v>508</v>
      </c>
      <c r="AG28" s="12">
        <f t="shared" si="6"/>
        <v>508</v>
      </c>
    </row>
    <row r="29" spans="1:33" s="35" customFormat="1" x14ac:dyDescent="0.2">
      <c r="A29" s="155"/>
      <c r="B29" s="29">
        <f>'MN layout (2x)'!C25</f>
        <v>22</v>
      </c>
      <c r="C29" s="30" t="str">
        <f>'MN layout (2x)'!A25</f>
        <v>1678-078(037)_post_inf_visit</v>
      </c>
      <c r="D29" s="31" t="str">
        <f>'MN layout (2x)'!B25</f>
        <v>1:20</v>
      </c>
      <c r="E29" s="72" t="s">
        <v>172</v>
      </c>
      <c r="F29" s="72" t="s">
        <v>172</v>
      </c>
      <c r="G29" s="72" t="s">
        <v>172</v>
      </c>
      <c r="H29" s="72" t="s">
        <v>179</v>
      </c>
      <c r="I29" s="72" t="s">
        <v>184</v>
      </c>
      <c r="J29" s="72" t="s">
        <v>177</v>
      </c>
      <c r="K29" s="72" t="s">
        <v>174</v>
      </c>
      <c r="L29" s="72" t="s">
        <v>174</v>
      </c>
      <c r="M29" s="72" t="s">
        <v>189</v>
      </c>
      <c r="N29" s="72" t="s">
        <v>174</v>
      </c>
      <c r="O29" s="31" t="s">
        <v>174</v>
      </c>
      <c r="P29" s="31" t="s">
        <v>172</v>
      </c>
      <c r="Q29" s="14" cm="1">
        <f t="array" ref="Q29">SUMPRODUCT(LEN(E29:N29)-LEN(SUBSTITUTE(E29:N29,"-","")))</f>
        <v>19</v>
      </c>
      <c r="R29" s="130">
        <f t="shared" si="1"/>
        <v>4.75</v>
      </c>
      <c r="S29" s="131" t="str" cm="1">
        <f t="array" ref="S29:T29">_xlfn.TEXTSPLIT(R29,".",)</f>
        <v>4</v>
      </c>
      <c r="T29" s="131" t="str">
        <v>75</v>
      </c>
      <c r="U29" s="15">
        <f t="shared" si="2"/>
        <v>320</v>
      </c>
      <c r="V29" s="15">
        <f t="shared" si="14"/>
        <v>25</v>
      </c>
      <c r="W29" s="14">
        <f t="shared" si="7"/>
        <v>25</v>
      </c>
      <c r="X29" s="15">
        <f t="shared" si="15"/>
        <v>100</v>
      </c>
      <c r="Y29" s="14">
        <f t="shared" si="8"/>
        <v>75</v>
      </c>
      <c r="Z29" s="32">
        <f t="shared" si="9"/>
        <v>0.33333333333333331</v>
      </c>
      <c r="AA29" s="14">
        <f t="shared" si="10"/>
        <v>0.3010299956639812</v>
      </c>
      <c r="AB29" s="33">
        <f t="shared" si="11"/>
        <v>0.10034333188799373</v>
      </c>
      <c r="AC29" s="33">
        <f t="shared" si="0"/>
        <v>2.5051499783199058</v>
      </c>
      <c r="AD29" s="33">
        <f t="shared" si="12"/>
        <v>2.6054933102078994</v>
      </c>
      <c r="AE29" s="34">
        <f t="shared" si="13"/>
        <v>403.17473596635921</v>
      </c>
      <c r="AF29" s="132">
        <f t="shared" si="5"/>
        <v>403.2</v>
      </c>
      <c r="AG29" s="15">
        <f t="shared" si="6"/>
        <v>403</v>
      </c>
    </row>
    <row r="30" spans="1:33" x14ac:dyDescent="0.2">
      <c r="A30" s="155" t="s">
        <v>198</v>
      </c>
      <c r="B30" s="16">
        <f>'MN layout (2x)'!C26</f>
        <v>23</v>
      </c>
      <c r="C30" s="17" t="str">
        <f>'MN layout (2x)'!A26</f>
        <v>1678-090(144)_post_inf_visit</v>
      </c>
      <c r="D30" s="11" t="str">
        <f>'MN layout (2x)'!B26</f>
        <v>1:20</v>
      </c>
      <c r="E30" s="18" t="s">
        <v>172</v>
      </c>
      <c r="F30" s="18" t="s">
        <v>172</v>
      </c>
      <c r="G30" s="18" t="s">
        <v>172</v>
      </c>
      <c r="H30" s="18" t="s">
        <v>172</v>
      </c>
      <c r="I30" s="18" t="s">
        <v>172</v>
      </c>
      <c r="J30" s="18" t="s">
        <v>174</v>
      </c>
      <c r="K30" s="18" t="s">
        <v>177</v>
      </c>
      <c r="L30" s="18" t="s">
        <v>181</v>
      </c>
      <c r="M30" s="18" t="s">
        <v>174</v>
      </c>
      <c r="N30" s="18" t="s">
        <v>174</v>
      </c>
      <c r="O30" s="18" t="s">
        <v>174</v>
      </c>
      <c r="P30" s="11" t="s">
        <v>172</v>
      </c>
      <c r="Q30" s="22" cm="1">
        <f t="array" ref="Q30">SUMPRODUCT(LEN(E30:N30)-LEN(SUBSTITUTE(E30:N30,"-","")))</f>
        <v>23</v>
      </c>
      <c r="R30" s="127">
        <f t="shared" si="1"/>
        <v>5.75</v>
      </c>
      <c r="S30" s="128" t="str" cm="1">
        <f t="array" ref="S30:T30">_xlfn.TEXTSPLIT(R30,".",)</f>
        <v>5</v>
      </c>
      <c r="T30" s="128" t="str">
        <v>75</v>
      </c>
      <c r="U30" s="12">
        <f t="shared" si="2"/>
        <v>640</v>
      </c>
      <c r="V30" s="12">
        <f t="shared" si="14"/>
        <v>25</v>
      </c>
      <c r="W30" s="22">
        <f t="shared" si="7"/>
        <v>25</v>
      </c>
      <c r="X30" s="12">
        <f t="shared" si="15"/>
        <v>100</v>
      </c>
      <c r="Y30" s="22">
        <f t="shared" si="8"/>
        <v>75</v>
      </c>
      <c r="Z30" s="19">
        <f t="shared" si="9"/>
        <v>0.33333333333333331</v>
      </c>
      <c r="AA30" s="22">
        <f t="shared" si="10"/>
        <v>0.3010299956639812</v>
      </c>
      <c r="AB30" s="20">
        <f t="shared" si="11"/>
        <v>0.10034333188799373</v>
      </c>
      <c r="AC30" s="20">
        <f t="shared" si="0"/>
        <v>2.8061799739838871</v>
      </c>
      <c r="AD30" s="20">
        <f t="shared" si="12"/>
        <v>2.9065233058718807</v>
      </c>
      <c r="AE30" s="21">
        <f t="shared" si="13"/>
        <v>806.34947193271921</v>
      </c>
      <c r="AF30" s="129">
        <f t="shared" si="5"/>
        <v>806.3</v>
      </c>
      <c r="AG30" s="12">
        <f t="shared" si="6"/>
        <v>806</v>
      </c>
    </row>
    <row r="31" spans="1:33" s="35" customFormat="1" x14ac:dyDescent="0.2">
      <c r="A31" s="155"/>
      <c r="B31" s="29">
        <f>'MN layout (2x)'!C27</f>
        <v>24</v>
      </c>
      <c r="C31" s="30" t="str">
        <f>'MN layout (2x)'!A27</f>
        <v>1678-091(145)_post_inf_visit</v>
      </c>
      <c r="D31" s="31" t="str">
        <f>'MN layout (2x)'!B27</f>
        <v>1:20</v>
      </c>
      <c r="E31" s="72" t="s">
        <v>172</v>
      </c>
      <c r="F31" s="72" t="s">
        <v>172</v>
      </c>
      <c r="G31" s="72" t="s">
        <v>172</v>
      </c>
      <c r="H31" s="72" t="s">
        <v>175</v>
      </c>
      <c r="I31" s="72" t="s">
        <v>176</v>
      </c>
      <c r="J31" s="72" t="s">
        <v>181</v>
      </c>
      <c r="K31" s="72" t="s">
        <v>187</v>
      </c>
      <c r="L31" s="72" t="s">
        <v>189</v>
      </c>
      <c r="M31" s="72" t="s">
        <v>174</v>
      </c>
      <c r="N31" s="72" t="s">
        <v>174</v>
      </c>
      <c r="O31" s="72" t="s">
        <v>173</v>
      </c>
      <c r="P31" s="31" t="s">
        <v>172</v>
      </c>
      <c r="Q31" s="14" cm="1">
        <f t="array" ref="Q31">SUMPRODUCT(LEN(E31:N31)-LEN(SUBSTITUTE(E31:N31,"-","")))</f>
        <v>22</v>
      </c>
      <c r="R31" s="130">
        <f t="shared" si="1"/>
        <v>5.5</v>
      </c>
      <c r="S31" s="131" t="str" cm="1">
        <f t="array" ref="S31:T31">_xlfn.TEXTSPLIT(R31,".",)</f>
        <v>5</v>
      </c>
      <c r="T31" s="131" t="str">
        <v>5</v>
      </c>
      <c r="U31" s="15">
        <f t="shared" si="2"/>
        <v>640</v>
      </c>
      <c r="V31" s="15">
        <f t="shared" si="14"/>
        <v>50</v>
      </c>
      <c r="W31" s="14">
        <f t="shared" si="7"/>
        <v>0</v>
      </c>
      <c r="X31" s="15">
        <f t="shared" si="15"/>
        <v>100</v>
      </c>
      <c r="Y31" s="14">
        <f t="shared" si="8"/>
        <v>50</v>
      </c>
      <c r="Z31" s="32">
        <f t="shared" si="9"/>
        <v>0</v>
      </c>
      <c r="AA31" s="14">
        <f t="shared" si="10"/>
        <v>0.3010299956639812</v>
      </c>
      <c r="AB31" s="33">
        <f t="shared" si="11"/>
        <v>0</v>
      </c>
      <c r="AC31" s="33">
        <f t="shared" si="0"/>
        <v>2.8061799739838871</v>
      </c>
      <c r="AD31" s="33">
        <f t="shared" si="12"/>
        <v>2.8061799739838871</v>
      </c>
      <c r="AE31" s="34">
        <f t="shared" si="13"/>
        <v>640.00000000000045</v>
      </c>
      <c r="AF31" s="132">
        <f t="shared" si="5"/>
        <v>640</v>
      </c>
      <c r="AG31" s="15">
        <f t="shared" si="6"/>
        <v>640</v>
      </c>
    </row>
    <row r="32" spans="1:33" x14ac:dyDescent="0.2">
      <c r="A32" s="155" t="s">
        <v>199</v>
      </c>
      <c r="B32" s="16">
        <f>'MN layout (2x)'!C28</f>
        <v>25</v>
      </c>
      <c r="C32" s="17" t="str">
        <f>'MN layout (2x)'!A28</f>
        <v>1678-095(149)_post_inf_visit</v>
      </c>
      <c r="D32" s="11" t="str">
        <f>'MN layout (2x)'!B28</f>
        <v>1:20</v>
      </c>
      <c r="E32" s="18" t="s">
        <v>172</v>
      </c>
      <c r="F32" s="18" t="s">
        <v>172</v>
      </c>
      <c r="G32" s="18" t="s">
        <v>172</v>
      </c>
      <c r="H32" s="18" t="s">
        <v>172</v>
      </c>
      <c r="I32" s="18" t="s">
        <v>172</v>
      </c>
      <c r="J32" s="18" t="s">
        <v>176</v>
      </c>
      <c r="K32" s="18" t="s">
        <v>172</v>
      </c>
      <c r="L32" s="18" t="s">
        <v>173</v>
      </c>
      <c r="M32" s="18" t="s">
        <v>189</v>
      </c>
      <c r="N32" s="18" t="s">
        <v>174</v>
      </c>
      <c r="O32" s="18" t="s">
        <v>174</v>
      </c>
      <c r="P32" s="11" t="s">
        <v>172</v>
      </c>
      <c r="Q32" s="22" cm="1">
        <f t="array" ref="Q32">SUMPRODUCT(LEN(E32:N32)-LEN(SUBSTITUTE(E32:N32,"-","")))</f>
        <v>29</v>
      </c>
      <c r="R32" s="127">
        <f t="shared" si="1"/>
        <v>7.25</v>
      </c>
      <c r="S32" s="128" t="str" cm="1">
        <f t="array" ref="S32:T32">_xlfn.TEXTSPLIT(R32,".",)</f>
        <v>7</v>
      </c>
      <c r="T32" s="128" t="str">
        <v>25</v>
      </c>
      <c r="U32" s="12">
        <f t="shared" si="2"/>
        <v>1280</v>
      </c>
      <c r="V32" s="12">
        <f t="shared" si="14"/>
        <v>0</v>
      </c>
      <c r="W32" s="22">
        <f t="shared" si="7"/>
        <v>50</v>
      </c>
      <c r="X32" s="12">
        <f t="shared" si="15"/>
        <v>75</v>
      </c>
      <c r="Y32" s="22">
        <f t="shared" si="8"/>
        <v>75</v>
      </c>
      <c r="Z32" s="19">
        <f t="shared" si="9"/>
        <v>0.66666666666666663</v>
      </c>
      <c r="AA32" s="22">
        <f t="shared" si="10"/>
        <v>0.3010299956639812</v>
      </c>
      <c r="AB32" s="20">
        <f t="shared" si="11"/>
        <v>0.20068666377598746</v>
      </c>
      <c r="AC32" s="20">
        <f t="shared" si="0"/>
        <v>3.1072099696478683</v>
      </c>
      <c r="AD32" s="20">
        <f t="shared" si="12"/>
        <v>3.307896633423856</v>
      </c>
      <c r="AE32" s="21">
        <f t="shared" si="13"/>
        <v>2031.8733465192977</v>
      </c>
      <c r="AF32" s="129">
        <f t="shared" si="5"/>
        <v>2031.9</v>
      </c>
      <c r="AG32" s="12">
        <f t="shared" si="6"/>
        <v>2032</v>
      </c>
    </row>
    <row r="33" spans="1:33" s="35" customFormat="1" x14ac:dyDescent="0.2">
      <c r="A33" s="155"/>
      <c r="B33" s="29">
        <f>'MN layout (2x)'!C29</f>
        <v>26</v>
      </c>
      <c r="C33" s="30" t="str">
        <f>'MN layout (2x)'!A29</f>
        <v>1678-099(153)_post_inf_visit</v>
      </c>
      <c r="D33" s="31" t="str">
        <f>'MN layout (2x)'!B29</f>
        <v>1:20</v>
      </c>
      <c r="E33" s="72" t="s">
        <v>172</v>
      </c>
      <c r="F33" s="72" t="s">
        <v>172</v>
      </c>
      <c r="G33" s="72" t="s">
        <v>172</v>
      </c>
      <c r="H33" s="72" t="s">
        <v>172</v>
      </c>
      <c r="I33" s="72" t="s">
        <v>172</v>
      </c>
      <c r="J33" s="72" t="s">
        <v>175</v>
      </c>
      <c r="K33" s="72" t="s">
        <v>185</v>
      </c>
      <c r="L33" s="72" t="s">
        <v>173</v>
      </c>
      <c r="M33" s="72" t="s">
        <v>177</v>
      </c>
      <c r="N33" s="72" t="s">
        <v>174</v>
      </c>
      <c r="O33" s="31" t="s">
        <v>174</v>
      </c>
      <c r="P33" s="31" t="s">
        <v>172</v>
      </c>
      <c r="Q33" s="14" cm="1">
        <f t="array" ref="Q33">SUMPRODUCT(LEN(E33:N33)-LEN(SUBSTITUTE(E33:N33,"-","")))</f>
        <v>29</v>
      </c>
      <c r="R33" s="130">
        <f t="shared" si="1"/>
        <v>7.25</v>
      </c>
      <c r="S33" s="131" t="str" cm="1">
        <f t="array" ref="S33:T33">_xlfn.TEXTSPLIT(R33,".",)</f>
        <v>7</v>
      </c>
      <c r="T33" s="131" t="str">
        <v>25</v>
      </c>
      <c r="U33" s="15">
        <f t="shared" si="2"/>
        <v>1280</v>
      </c>
      <c r="V33" s="15">
        <f t="shared" si="14"/>
        <v>0</v>
      </c>
      <c r="W33" s="14">
        <f t="shared" si="7"/>
        <v>50</v>
      </c>
      <c r="X33" s="15">
        <f t="shared" si="15"/>
        <v>75</v>
      </c>
      <c r="Y33" s="14">
        <f t="shared" si="8"/>
        <v>75</v>
      </c>
      <c r="Z33" s="32">
        <f t="shared" si="9"/>
        <v>0.66666666666666663</v>
      </c>
      <c r="AA33" s="14">
        <f t="shared" si="10"/>
        <v>0.3010299956639812</v>
      </c>
      <c r="AB33" s="33">
        <f t="shared" si="11"/>
        <v>0.20068666377598746</v>
      </c>
      <c r="AC33" s="33">
        <f t="shared" si="0"/>
        <v>3.1072099696478683</v>
      </c>
      <c r="AD33" s="33">
        <f t="shared" si="12"/>
        <v>3.307896633423856</v>
      </c>
      <c r="AE33" s="34">
        <f t="shared" si="13"/>
        <v>2031.8733465192977</v>
      </c>
      <c r="AF33" s="132">
        <f t="shared" si="5"/>
        <v>2031.9</v>
      </c>
      <c r="AG33" s="15">
        <f t="shared" si="6"/>
        <v>2032</v>
      </c>
    </row>
    <row r="34" spans="1:33" x14ac:dyDescent="0.2">
      <c r="A34" s="155" t="s">
        <v>200</v>
      </c>
      <c r="B34" s="16">
        <f>'MN layout (2x)'!C30</f>
        <v>27</v>
      </c>
      <c r="C34" s="17" t="str">
        <f>'MN layout (2x)'!A30</f>
        <v>1678-SM_post_inf_visit</v>
      </c>
      <c r="D34" s="11" t="str">
        <f>'MN layout (2x)'!B30</f>
        <v>1:20</v>
      </c>
      <c r="E34" s="18" t="s">
        <v>172</v>
      </c>
      <c r="F34" s="18" t="s">
        <v>172</v>
      </c>
      <c r="G34" s="18" t="s">
        <v>172</v>
      </c>
      <c r="H34" s="18" t="s">
        <v>172</v>
      </c>
      <c r="I34" s="18" t="s">
        <v>182</v>
      </c>
      <c r="J34" s="18" t="s">
        <v>174</v>
      </c>
      <c r="K34" s="18" t="s">
        <v>180</v>
      </c>
      <c r="L34" s="18" t="s">
        <v>174</v>
      </c>
      <c r="M34" s="18" t="s">
        <v>181</v>
      </c>
      <c r="N34" s="18" t="s">
        <v>174</v>
      </c>
      <c r="O34" s="18" t="s">
        <v>174</v>
      </c>
      <c r="P34" s="11" t="s">
        <v>172</v>
      </c>
      <c r="Q34" s="22" cm="1">
        <f t="array" ref="Q34">SUMPRODUCT(LEN(E34:N34)-LEN(SUBSTITUTE(E34:N34,"-","")))</f>
        <v>21</v>
      </c>
      <c r="R34" s="127">
        <f t="shared" si="1"/>
        <v>5.25</v>
      </c>
      <c r="S34" s="128" t="str" cm="1">
        <f t="array" ref="S34:T34">_xlfn.TEXTSPLIT(R34,".",)</f>
        <v>5</v>
      </c>
      <c r="T34" s="128" t="str">
        <v>25</v>
      </c>
      <c r="U34" s="12">
        <f t="shared" si="2"/>
        <v>320</v>
      </c>
      <c r="V34" s="12">
        <f t="shared" si="14"/>
        <v>0</v>
      </c>
      <c r="W34" s="22">
        <f t="shared" si="7"/>
        <v>50</v>
      </c>
      <c r="X34" s="12">
        <f t="shared" si="15"/>
        <v>75</v>
      </c>
      <c r="Y34" s="22">
        <f t="shared" si="8"/>
        <v>75</v>
      </c>
      <c r="Z34" s="19">
        <f t="shared" si="9"/>
        <v>0.66666666666666663</v>
      </c>
      <c r="AA34" s="22">
        <f t="shared" si="10"/>
        <v>0.3010299956639812</v>
      </c>
      <c r="AB34" s="20">
        <f t="shared" si="11"/>
        <v>0.20068666377598746</v>
      </c>
      <c r="AC34" s="20">
        <f t="shared" si="0"/>
        <v>2.5051499783199058</v>
      </c>
      <c r="AD34" s="20">
        <f t="shared" si="12"/>
        <v>2.7058366420958935</v>
      </c>
      <c r="AE34" s="21">
        <f t="shared" si="13"/>
        <v>507.96833662982436</v>
      </c>
      <c r="AF34" s="129">
        <f t="shared" si="5"/>
        <v>508</v>
      </c>
      <c r="AG34" s="12">
        <f t="shared" si="6"/>
        <v>508</v>
      </c>
    </row>
    <row r="35" spans="1:33" s="35" customFormat="1" x14ac:dyDescent="0.2">
      <c r="A35" s="155"/>
      <c r="B35" s="29">
        <f>'MN layout (2x)'!C31</f>
        <v>28</v>
      </c>
      <c r="C35" s="30" t="str">
        <f>'MN layout (2x)'!A31</f>
        <v>NIBSC 21/338</v>
      </c>
      <c r="D35" s="31" t="str">
        <f>'MN layout (2x)'!B31</f>
        <v>1:20</v>
      </c>
      <c r="E35" s="72" t="s">
        <v>172</v>
      </c>
      <c r="F35" s="72" t="s">
        <v>172</v>
      </c>
      <c r="G35" s="72" t="s">
        <v>172</v>
      </c>
      <c r="H35" s="72" t="s">
        <v>172</v>
      </c>
      <c r="I35" s="72" t="s">
        <v>172</v>
      </c>
      <c r="J35" s="72" t="s">
        <v>172</v>
      </c>
      <c r="K35" s="72" t="s">
        <v>182</v>
      </c>
      <c r="L35" s="72" t="s">
        <v>180</v>
      </c>
      <c r="M35" s="72" t="s">
        <v>173</v>
      </c>
      <c r="N35" s="72" t="s">
        <v>181</v>
      </c>
      <c r="O35" s="72" t="s">
        <v>181</v>
      </c>
      <c r="P35" s="31" t="s">
        <v>172</v>
      </c>
      <c r="Q35" s="14" cm="1">
        <f t="array" ref="Q35">SUMPRODUCT(LEN(E35:N35)-LEN(SUBSTITUTE(E35:N35,"-","")))</f>
        <v>30</v>
      </c>
      <c r="R35" s="130">
        <f t="shared" si="1"/>
        <v>7.5</v>
      </c>
      <c r="S35" s="131" t="str" cm="1">
        <f t="array" ref="S35:T35">_xlfn.TEXTSPLIT(R35,".",)</f>
        <v>7</v>
      </c>
      <c r="T35" s="131" t="str">
        <v>5</v>
      </c>
      <c r="U35" s="15">
        <f t="shared" si="2"/>
        <v>2560</v>
      </c>
      <c r="V35" s="15">
        <f t="shared" si="14"/>
        <v>50</v>
      </c>
      <c r="W35" s="14">
        <f t="shared" si="7"/>
        <v>0</v>
      </c>
      <c r="X35" s="15">
        <f t="shared" si="15"/>
        <v>100</v>
      </c>
      <c r="Y35" s="14">
        <f t="shared" si="8"/>
        <v>50</v>
      </c>
      <c r="Z35" s="32">
        <f t="shared" si="9"/>
        <v>0</v>
      </c>
      <c r="AA35" s="14">
        <f t="shared" si="10"/>
        <v>0.3010299956639812</v>
      </c>
      <c r="AB35" s="33">
        <f t="shared" si="11"/>
        <v>0</v>
      </c>
      <c r="AC35" s="33">
        <f t="shared" si="0"/>
        <v>3.4082399653118496</v>
      </c>
      <c r="AD35" s="33">
        <f t="shared" si="12"/>
        <v>3.4082399653118496</v>
      </c>
      <c r="AE35" s="34">
        <f t="shared" si="13"/>
        <v>2560.0000000000023</v>
      </c>
      <c r="AF35" s="132">
        <f t="shared" si="5"/>
        <v>2560</v>
      </c>
      <c r="AG35" s="15">
        <f t="shared" si="6"/>
        <v>2560</v>
      </c>
    </row>
    <row r="36" spans="1:33" x14ac:dyDescent="0.2">
      <c r="A36" s="155" t="s">
        <v>201</v>
      </c>
      <c r="B36" s="16">
        <f>'MN layout (2x)'!C32</f>
        <v>29</v>
      </c>
      <c r="C36" s="17" t="str">
        <f>'MN layout (2x)'!A32</f>
        <v>NIBSC 20/142</v>
      </c>
      <c r="D36" s="11" t="str">
        <f>'MN layout (2x)'!B32</f>
        <v>1:20</v>
      </c>
      <c r="E36" s="18" t="s">
        <v>174</v>
      </c>
      <c r="F36" s="18" t="s">
        <v>174</v>
      </c>
      <c r="G36" s="18" t="s">
        <v>189</v>
      </c>
      <c r="H36" s="18" t="s">
        <v>189</v>
      </c>
      <c r="I36" s="18" t="s">
        <v>173</v>
      </c>
      <c r="J36" s="18" t="s">
        <v>174</v>
      </c>
      <c r="K36" s="18" t="s">
        <v>174</v>
      </c>
      <c r="L36" s="18" t="s">
        <v>175</v>
      </c>
      <c r="M36" s="18" t="s">
        <v>174</v>
      </c>
      <c r="N36" s="18" t="s">
        <v>174</v>
      </c>
      <c r="O36" s="18" t="s">
        <v>174</v>
      </c>
      <c r="P36" s="11" t="s">
        <v>172</v>
      </c>
      <c r="Q36" s="22" cm="1">
        <f t="array" ref="Q36">SUMPRODUCT(LEN(E36:N36)-LEN(SUBSTITUTE(E36:N36,"-","")))</f>
        <v>6</v>
      </c>
      <c r="R36" s="127">
        <f t="shared" si="1"/>
        <v>1.5</v>
      </c>
      <c r="S36" s="128" t="str" cm="1">
        <f t="array" ref="S36:T36">_xlfn.TEXTSPLIT(R36,".",)</f>
        <v>1</v>
      </c>
      <c r="T36" s="128" t="str">
        <v>5</v>
      </c>
      <c r="U36" s="12">
        <f t="shared" si="2"/>
        <v>40</v>
      </c>
      <c r="V36" s="12">
        <f t="shared" si="14"/>
        <v>50</v>
      </c>
      <c r="W36" s="22">
        <f t="shared" si="7"/>
        <v>0</v>
      </c>
      <c r="X36" s="12">
        <f t="shared" si="15"/>
        <v>100</v>
      </c>
      <c r="Y36" s="22">
        <f t="shared" si="8"/>
        <v>50</v>
      </c>
      <c r="Z36" s="19">
        <f t="shared" si="9"/>
        <v>0</v>
      </c>
      <c r="AA36" s="22">
        <f t="shared" si="10"/>
        <v>0.3010299956639812</v>
      </c>
      <c r="AB36" s="20">
        <f t="shared" si="11"/>
        <v>0</v>
      </c>
      <c r="AC36" s="20">
        <f t="shared" si="0"/>
        <v>1.6020599913279623</v>
      </c>
      <c r="AD36" s="20">
        <f t="shared" si="12"/>
        <v>1.6020599913279623</v>
      </c>
      <c r="AE36" s="21">
        <f t="shared" si="13"/>
        <v>40</v>
      </c>
      <c r="AF36" s="129">
        <f t="shared" si="5"/>
        <v>40</v>
      </c>
      <c r="AG36" s="12">
        <f t="shared" si="6"/>
        <v>40</v>
      </c>
    </row>
    <row r="37" spans="1:33" s="35" customFormat="1" x14ac:dyDescent="0.2">
      <c r="A37" s="155"/>
      <c r="B37" s="29">
        <f>'MN layout (2x)'!C33</f>
        <v>30</v>
      </c>
      <c r="C37" s="30" t="str">
        <f>'MN layout (2x)'!A33</f>
        <v>Neg 4</v>
      </c>
      <c r="D37" s="31" t="str">
        <f>'MN layout (2x)'!B33</f>
        <v>1:20</v>
      </c>
      <c r="E37" s="72" t="s">
        <v>174</v>
      </c>
      <c r="F37" s="72" t="s">
        <v>174</v>
      </c>
      <c r="G37" s="72" t="s">
        <v>174</v>
      </c>
      <c r="H37" s="72" t="s">
        <v>174</v>
      </c>
      <c r="I37" s="72" t="s">
        <v>174</v>
      </c>
      <c r="J37" s="72" t="s">
        <v>174</v>
      </c>
      <c r="K37" s="72" t="s">
        <v>184</v>
      </c>
      <c r="L37" s="72" t="s">
        <v>189</v>
      </c>
      <c r="M37" s="72" t="s">
        <v>174</v>
      </c>
      <c r="N37" s="72" t="s">
        <v>174</v>
      </c>
      <c r="O37" s="31" t="s">
        <v>174</v>
      </c>
      <c r="P37" s="31" t="s">
        <v>172</v>
      </c>
      <c r="Q37" s="14" cm="1">
        <f t="array" ref="Q37">SUMPRODUCT(LEN(E37:N37)-LEN(SUBSTITUTE(E37:N37,"-","")))</f>
        <v>2</v>
      </c>
      <c r="R37" s="130">
        <f t="shared" si="1"/>
        <v>0.5</v>
      </c>
      <c r="S37" s="131" t="str" cm="1">
        <f t="array" ref="S37:T37">_xlfn.TEXTSPLIT(R37,".",)</f>
        <v>0</v>
      </c>
      <c r="T37" s="131" t="str">
        <v>5</v>
      </c>
      <c r="U37" s="15">
        <f t="shared" si="2"/>
        <v>20</v>
      </c>
      <c r="V37" s="15">
        <f t="shared" si="14"/>
        <v>50</v>
      </c>
      <c r="W37" s="14">
        <f t="shared" si="7"/>
        <v>0</v>
      </c>
      <c r="X37" s="15">
        <f t="shared" si="15"/>
        <v>100</v>
      </c>
      <c r="Y37" s="14">
        <f t="shared" si="8"/>
        <v>50</v>
      </c>
      <c r="Z37" s="32">
        <f t="shared" si="9"/>
        <v>0</v>
      </c>
      <c r="AA37" s="14">
        <f t="shared" si="10"/>
        <v>0.3010299956639812</v>
      </c>
      <c r="AB37" s="33">
        <f t="shared" si="11"/>
        <v>0</v>
      </c>
      <c r="AC37" s="33">
        <f t="shared" si="0"/>
        <v>1.3010299956639813</v>
      </c>
      <c r="AD37" s="33">
        <f t="shared" si="12"/>
        <v>1.3010299956639813</v>
      </c>
      <c r="AE37" s="34">
        <f t="shared" si="13"/>
        <v>20.000000000000007</v>
      </c>
      <c r="AF37" s="132">
        <f t="shared" si="5"/>
        <v>20</v>
      </c>
      <c r="AG37" s="15">
        <f t="shared" si="6"/>
        <v>20</v>
      </c>
    </row>
    <row r="38" spans="1:33" x14ac:dyDescent="0.2">
      <c r="B38" s="16"/>
      <c r="C38" s="17"/>
      <c r="D38" s="11"/>
      <c r="E38" s="11"/>
      <c r="Z38" s="19"/>
      <c r="AB38" s="20"/>
      <c r="AC38" s="20"/>
      <c r="AD38" s="20"/>
      <c r="AE38" s="21"/>
      <c r="AF38" s="21"/>
    </row>
    <row r="39" spans="1:33" ht="21" x14ac:dyDescent="0.2">
      <c r="A39" s="67" t="s">
        <v>202</v>
      </c>
      <c r="C39" s="68"/>
      <c r="D39" s="69">
        <v>0</v>
      </c>
      <c r="E39" s="69">
        <v>-1</v>
      </c>
      <c r="F39" s="69">
        <v>-2</v>
      </c>
      <c r="G39" s="69">
        <v>-3</v>
      </c>
      <c r="H39" s="69">
        <v>-4</v>
      </c>
      <c r="I39" s="69">
        <v>-5</v>
      </c>
      <c r="J39" s="70" t="s">
        <v>203</v>
      </c>
      <c r="K39" s="70" t="s">
        <v>204</v>
      </c>
      <c r="Z39" s="19"/>
      <c r="AB39" s="20"/>
      <c r="AC39" s="20"/>
      <c r="AD39" s="20"/>
      <c r="AE39" s="21"/>
      <c r="AF39" s="21"/>
    </row>
    <row r="40" spans="1:33" x14ac:dyDescent="0.2">
      <c r="A40" s="135"/>
      <c r="B40" s="135"/>
      <c r="C40" s="39" t="s">
        <v>205</v>
      </c>
      <c r="D40" s="71" t="s">
        <v>174</v>
      </c>
      <c r="E40" s="71" t="s">
        <v>189</v>
      </c>
      <c r="F40" s="71" t="s">
        <v>176</v>
      </c>
      <c r="G40" s="71" t="s">
        <v>172</v>
      </c>
      <c r="H40" s="71" t="s">
        <v>172</v>
      </c>
      <c r="I40" s="71" t="s">
        <v>172</v>
      </c>
      <c r="J40" s="40">
        <v>1.5</v>
      </c>
      <c r="K40" s="41">
        <f t="shared" ref="K40:K43" si="16">J40+1.7</f>
        <v>3.2</v>
      </c>
    </row>
    <row r="41" spans="1:33" x14ac:dyDescent="0.2">
      <c r="A41" s="135"/>
      <c r="B41" s="135"/>
      <c r="C41" s="39" t="s">
        <v>206</v>
      </c>
      <c r="D41" s="71" t="s">
        <v>174</v>
      </c>
      <c r="E41" s="71" t="s">
        <v>174</v>
      </c>
      <c r="F41" s="71" t="s">
        <v>176</v>
      </c>
      <c r="G41" s="71" t="s">
        <v>172</v>
      </c>
      <c r="H41" s="71" t="s">
        <v>172</v>
      </c>
      <c r="I41" s="71" t="s">
        <v>172</v>
      </c>
      <c r="J41" s="40">
        <v>1.75</v>
      </c>
      <c r="K41" s="41">
        <f t="shared" si="16"/>
        <v>3.45</v>
      </c>
    </row>
    <row r="42" spans="1:33" x14ac:dyDescent="0.2">
      <c r="A42" s="135"/>
      <c r="B42" s="135"/>
      <c r="C42" s="39" t="s">
        <v>207</v>
      </c>
      <c r="D42" s="71" t="s">
        <v>174</v>
      </c>
      <c r="E42" s="71" t="s">
        <v>180</v>
      </c>
      <c r="F42" s="71" t="s">
        <v>172</v>
      </c>
      <c r="G42" s="71" t="s">
        <v>172</v>
      </c>
      <c r="H42" s="71" t="s">
        <v>172</v>
      </c>
      <c r="I42" s="71" t="s">
        <v>172</v>
      </c>
      <c r="J42" s="40">
        <v>1</v>
      </c>
      <c r="K42" s="41">
        <f t="shared" ref="K42" si="17">J42+1.7</f>
        <v>2.7</v>
      </c>
    </row>
    <row r="43" spans="1:33" x14ac:dyDescent="0.2">
      <c r="A43" s="135"/>
      <c r="B43" s="135"/>
      <c r="C43" s="39" t="s">
        <v>207</v>
      </c>
      <c r="D43" s="71" t="s">
        <v>174</v>
      </c>
      <c r="E43" s="71" t="s">
        <v>179</v>
      </c>
      <c r="F43" s="71" t="s">
        <v>172</v>
      </c>
      <c r="G43" s="71" t="s">
        <v>172</v>
      </c>
      <c r="H43" s="71" t="s">
        <v>172</v>
      </c>
      <c r="I43" s="71" t="s">
        <v>172</v>
      </c>
      <c r="J43" s="40">
        <v>0.75</v>
      </c>
      <c r="K43" s="41">
        <f t="shared" si="16"/>
        <v>2.4500000000000002</v>
      </c>
    </row>
    <row r="44" spans="1:33" x14ac:dyDescent="0.2">
      <c r="A44" s="135"/>
      <c r="B44" s="135"/>
      <c r="C44" s="39" t="s">
        <v>208</v>
      </c>
      <c r="D44" s="71" t="s">
        <v>174</v>
      </c>
      <c r="E44" s="71" t="s">
        <v>187</v>
      </c>
      <c r="F44" s="71" t="s">
        <v>172</v>
      </c>
      <c r="G44" s="71" t="s">
        <v>172</v>
      </c>
      <c r="H44" s="71" t="s">
        <v>172</v>
      </c>
      <c r="I44" s="71" t="s">
        <v>172</v>
      </c>
      <c r="J44" s="40">
        <v>1</v>
      </c>
      <c r="K44" s="41">
        <f>J44+1.6</f>
        <v>2.6</v>
      </c>
    </row>
    <row r="45" spans="1:33" x14ac:dyDescent="0.2">
      <c r="A45" s="135"/>
      <c r="B45" s="135"/>
      <c r="C45" s="39" t="s">
        <v>208</v>
      </c>
      <c r="D45" s="71" t="s">
        <v>174</v>
      </c>
      <c r="E45" s="71" t="s">
        <v>175</v>
      </c>
      <c r="F45" s="71" t="s">
        <v>176</v>
      </c>
      <c r="G45" s="71" t="s">
        <v>172</v>
      </c>
      <c r="H45" s="71" t="s">
        <v>172</v>
      </c>
      <c r="I45" s="71" t="s">
        <v>172</v>
      </c>
      <c r="J45" s="40">
        <v>1</v>
      </c>
      <c r="K45" s="41">
        <f>J45+1.6</f>
        <v>2.6</v>
      </c>
    </row>
    <row r="46" spans="1:33" x14ac:dyDescent="0.2">
      <c r="B46" s="22"/>
      <c r="C46" s="9"/>
      <c r="D46" s="11"/>
      <c r="E46" s="11"/>
    </row>
    <row r="47" spans="1:33" x14ac:dyDescent="0.2">
      <c r="A47" s="45" t="s">
        <v>209</v>
      </c>
      <c r="B47" s="45"/>
      <c r="C47" s="46"/>
      <c r="D47" s="47"/>
      <c r="E47" s="47"/>
      <c r="F47" s="47"/>
      <c r="G47" s="47"/>
      <c r="H47" s="47"/>
      <c r="I47" s="47"/>
      <c r="J47" s="47"/>
      <c r="K47" s="47"/>
    </row>
    <row r="48" spans="1:33" x14ac:dyDescent="0.2">
      <c r="A48" s="42"/>
      <c r="B48" s="48"/>
      <c r="C48" s="43"/>
      <c r="D48" s="44"/>
      <c r="E48" s="44"/>
      <c r="F48" s="44"/>
      <c r="G48" s="44"/>
      <c r="H48" s="44"/>
      <c r="I48" s="44"/>
      <c r="J48" s="44"/>
      <c r="K48" s="44"/>
    </row>
    <row r="49" spans="1:37" x14ac:dyDescent="0.2">
      <c r="A49" s="42" t="s">
        <v>210</v>
      </c>
      <c r="B49" s="48"/>
      <c r="C49" s="49"/>
      <c r="D49" s="44"/>
      <c r="E49" s="44"/>
      <c r="F49" s="44"/>
      <c r="G49" s="44"/>
      <c r="H49" s="44"/>
      <c r="I49" s="44"/>
      <c r="J49" s="44"/>
      <c r="K49" s="44"/>
    </row>
    <row r="50" spans="1:37" x14ac:dyDescent="0.2">
      <c r="A50" s="42" t="s">
        <v>211</v>
      </c>
      <c r="B50" s="48"/>
      <c r="C50" s="50"/>
      <c r="D50" s="48"/>
      <c r="E50" s="44"/>
      <c r="F50" s="44"/>
      <c r="G50" s="44"/>
      <c r="H50" s="44"/>
      <c r="I50" s="44"/>
      <c r="J50" s="44"/>
      <c r="K50" s="44"/>
    </row>
    <row r="51" spans="1:37" s="11" customFormat="1" x14ac:dyDescent="0.2">
      <c r="A51" s="42" t="s">
        <v>212</v>
      </c>
      <c r="B51" s="48"/>
      <c r="C51" s="50"/>
      <c r="D51" s="48"/>
      <c r="E51" s="44"/>
      <c r="F51" s="44"/>
      <c r="G51" s="44"/>
      <c r="H51" s="44"/>
      <c r="I51" s="44"/>
      <c r="J51" s="44"/>
      <c r="K51" s="44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8"/>
      <c r="AI51" s="8"/>
      <c r="AJ51" s="8"/>
      <c r="AK51" s="8"/>
    </row>
    <row r="52" spans="1:37" s="11" customFormat="1" x14ac:dyDescent="0.2">
      <c r="A52" s="42"/>
      <c r="B52" s="48"/>
      <c r="C52" s="48"/>
      <c r="D52" s="48"/>
      <c r="E52" s="44"/>
      <c r="F52" s="44"/>
      <c r="G52" s="44"/>
      <c r="H52" s="44"/>
      <c r="I52" s="44"/>
      <c r="J52" s="44"/>
      <c r="K52" s="44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8"/>
      <c r="AI52" s="8"/>
      <c r="AJ52" s="8"/>
      <c r="AK52" s="8"/>
    </row>
    <row r="53" spans="1:37" s="11" customFormat="1" x14ac:dyDescent="0.2">
      <c r="A53" s="8"/>
      <c r="B53" s="22"/>
      <c r="C53" s="8"/>
      <c r="D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8"/>
      <c r="AI53" s="8"/>
      <c r="AJ53" s="8"/>
      <c r="AK53" s="8"/>
    </row>
    <row r="54" spans="1:37" s="11" customFormat="1" x14ac:dyDescent="0.2">
      <c r="A54" s="8"/>
      <c r="B54" s="8"/>
      <c r="C54" s="8"/>
      <c r="D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8"/>
      <c r="AI54" s="8"/>
      <c r="AJ54" s="8"/>
      <c r="AK54" s="8"/>
    </row>
    <row r="57" spans="1:37" s="11" customFormat="1" x14ac:dyDescent="0.2">
      <c r="A57" s="8"/>
      <c r="B57" s="8"/>
      <c r="C57" s="8"/>
      <c r="D57" s="22"/>
      <c r="E57" s="22"/>
      <c r="F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8"/>
      <c r="AI57" s="8"/>
      <c r="AJ57" s="8"/>
      <c r="AK57" s="8"/>
    </row>
  </sheetData>
  <mergeCells count="30">
    <mergeCell ref="AG5:AG7"/>
    <mergeCell ref="A8:A9"/>
    <mergeCell ref="G1:H1"/>
    <mergeCell ref="L1:M1"/>
    <mergeCell ref="P1:Q1"/>
    <mergeCell ref="W3:AE3"/>
    <mergeCell ref="A5:A7"/>
    <mergeCell ref="B5:B7"/>
    <mergeCell ref="C5:C7"/>
    <mergeCell ref="D5:D7"/>
    <mergeCell ref="O5:O6"/>
    <mergeCell ref="P5:P6"/>
    <mergeCell ref="A20:A21"/>
    <mergeCell ref="Q5:Q7"/>
    <mergeCell ref="R5:R7"/>
    <mergeCell ref="S5:T7"/>
    <mergeCell ref="AF5:AF7"/>
    <mergeCell ref="A10:A11"/>
    <mergeCell ref="A12:A13"/>
    <mergeCell ref="A14:A15"/>
    <mergeCell ref="A16:A17"/>
    <mergeCell ref="A18:A19"/>
    <mergeCell ref="A34:A35"/>
    <mergeCell ref="A36:A37"/>
    <mergeCell ref="A22:A23"/>
    <mergeCell ref="A24:A25"/>
    <mergeCell ref="A26:A27"/>
    <mergeCell ref="A28:A29"/>
    <mergeCell ref="A30:A31"/>
    <mergeCell ref="A32:A33"/>
  </mergeCells>
  <conditionalFormatting sqref="A40:K41 A42:A43 C42:K43 A44:K45">
    <cfRule type="expression" dxfId="6" priority="5">
      <formula>AND($K40&lt;3.8,$K40&gt;2.8)</formula>
    </cfRule>
  </conditionalFormatting>
  <conditionalFormatting sqref="E8:N37">
    <cfRule type="expression" dxfId="5" priority="2">
      <formula>LEN(E8)&lt;1</formula>
    </cfRule>
    <cfRule type="expression" dxfId="4" priority="3">
      <formula>LEN(E8)&lt;4</formula>
    </cfRule>
    <cfRule type="expression" dxfId="3" priority="4">
      <formula>LEN(E8)&gt;4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F4E713C-618A-481E-B8E5-9E9A816D790A}">
            <xm:f>NOT(ISERROR(SEARCH("-",O5)))</xm:f>
            <xm:f>"-"</xm:f>
            <x14:dxf>
              <fill>
                <patternFill>
                  <bgColor rgb="FFFFCCCC"/>
                </patternFill>
              </fill>
            </x14:dxf>
          </x14:cfRule>
          <xm:sqref>O5:O37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5"/>
  <sheetViews>
    <sheetView tabSelected="1" workbookViewId="0">
      <selection activeCell="G34" sqref="G34"/>
    </sheetView>
  </sheetViews>
  <sheetFormatPr defaultColWidth="8.875" defaultRowHeight="15.75" x14ac:dyDescent="0.25"/>
  <cols>
    <col min="1" max="1" width="22.5" style="27" customWidth="1"/>
    <col min="2" max="2" width="10" style="4" bestFit="1" customWidth="1"/>
  </cols>
  <sheetData>
    <row r="1" spans="1:3" s="55" customFormat="1" ht="47.25" x14ac:dyDescent="0.25">
      <c r="A1" s="54" t="s">
        <v>142</v>
      </c>
      <c r="B1" s="53" t="s">
        <v>215</v>
      </c>
      <c r="C1" s="53" t="s">
        <v>216</v>
      </c>
    </row>
    <row r="2" spans="1:3" x14ac:dyDescent="0.25">
      <c r="A2" s="51" t="str">
        <f>'MN layout (2x)'!A4</f>
        <v>High 3</v>
      </c>
      <c r="B2" s="37">
        <f>'MN results 1'!AG8</f>
        <v>1280</v>
      </c>
      <c r="C2" s="4">
        <f>'MN results 2'!AG8</f>
        <v>640</v>
      </c>
    </row>
    <row r="3" spans="1:3" x14ac:dyDescent="0.25">
      <c r="A3" s="51" t="str">
        <f>'MN layout (2x)'!A5</f>
        <v>1678-044_pv2</v>
      </c>
      <c r="B3" s="37">
        <f>'MN results 1'!AG9</f>
        <v>101</v>
      </c>
      <c r="C3" s="4">
        <f>'MN results 2'!AG9</f>
        <v>64</v>
      </c>
    </row>
    <row r="4" spans="1:3" x14ac:dyDescent="0.25">
      <c r="A4" s="51" t="str">
        <f>'MN layout (2x)'!A6</f>
        <v>1678-044_PB1</v>
      </c>
      <c r="B4" s="37">
        <f>'MN results 1'!AG10</f>
        <v>1613</v>
      </c>
      <c r="C4" s="4">
        <f>'MN results 2'!AG10</f>
        <v>1280</v>
      </c>
    </row>
    <row r="5" spans="1:3" x14ac:dyDescent="0.25">
      <c r="A5" s="51" t="str">
        <f>'MN layout (2x)'!A7</f>
        <v>1678-047_pv2</v>
      </c>
      <c r="B5" s="37">
        <f>'MN results 1'!AG11</f>
        <v>254</v>
      </c>
      <c r="C5" s="4">
        <f>'MN results 2'!AG11</f>
        <v>403</v>
      </c>
    </row>
    <row r="6" spans="1:3" x14ac:dyDescent="0.25">
      <c r="A6" s="51" t="str">
        <f>'MN layout (2x)'!A8</f>
        <v>1678-047_post_v3</v>
      </c>
      <c r="B6" s="37">
        <f>'MN results 1'!AG12</f>
        <v>403</v>
      </c>
      <c r="C6" s="4">
        <f>'MN results 2'!AG12</f>
        <v>202</v>
      </c>
    </row>
    <row r="7" spans="1:3" x14ac:dyDescent="0.25">
      <c r="A7" s="51" t="str">
        <f>'MN layout (2x)'!A9</f>
        <v>1678-061_pv2</v>
      </c>
      <c r="B7" s="37">
        <f>'MN results 1'!AG13</f>
        <v>202</v>
      </c>
      <c r="C7" s="4">
        <f>'MN results 2'!AG13</f>
        <v>127</v>
      </c>
    </row>
    <row r="8" spans="1:3" x14ac:dyDescent="0.25">
      <c r="A8" s="51" t="str">
        <f>'MN layout (2x)'!A10</f>
        <v>1678-061_post_v3</v>
      </c>
      <c r="B8" s="37">
        <f>'MN results 1'!AG14</f>
        <v>640</v>
      </c>
      <c r="C8" s="4">
        <f>'MN results 2'!AG14</f>
        <v>113</v>
      </c>
    </row>
    <row r="9" spans="1:3" x14ac:dyDescent="0.25">
      <c r="A9" s="51" t="str">
        <f>'MN layout (2x)'!A11</f>
        <v>1678-065_pv2</v>
      </c>
      <c r="B9" s="37">
        <f>'MN results 1'!AG15</f>
        <v>160</v>
      </c>
      <c r="C9" s="4">
        <f>'MN results 2'!AG15</f>
        <v>80</v>
      </c>
    </row>
    <row r="10" spans="1:3" x14ac:dyDescent="0.25">
      <c r="A10" s="51" t="str">
        <f>'MN layout (2x)'!A12</f>
        <v>1678-065_post_v3</v>
      </c>
      <c r="B10" s="37">
        <f>'MN results 1'!AG16</f>
        <v>1016</v>
      </c>
      <c r="C10" s="4">
        <f>'MN results 2'!AG16</f>
        <v>2032</v>
      </c>
    </row>
    <row r="11" spans="1:3" x14ac:dyDescent="0.25">
      <c r="A11" s="51" t="str">
        <f>'MN layout (2x)'!A13</f>
        <v>1678-069 (008)_pv2</v>
      </c>
      <c r="B11" s="37">
        <f>'MN results 1'!AG17</f>
        <v>202</v>
      </c>
      <c r="C11" s="4">
        <f>'MN results 2'!AG17</f>
        <v>640</v>
      </c>
    </row>
    <row r="12" spans="1:3" x14ac:dyDescent="0.25">
      <c r="A12" s="51" t="str">
        <f>'MN layout (2x)'!A14</f>
        <v>1678-069 (008)_M9</v>
      </c>
      <c r="B12" s="37">
        <f>'MN results 1'!AG18</f>
        <v>101</v>
      </c>
      <c r="C12" s="4">
        <f>'MN results 2'!AG18</f>
        <v>202</v>
      </c>
    </row>
    <row r="13" spans="1:3" x14ac:dyDescent="0.25">
      <c r="A13" s="51" t="str">
        <f>'MN layout (2x)'!A15</f>
        <v>1678-070 (043)_pv2</v>
      </c>
      <c r="B13" s="37">
        <f>'MN results 1'!AG19</f>
        <v>202</v>
      </c>
      <c r="C13" s="4">
        <f>'MN results 2'!AG19</f>
        <v>254</v>
      </c>
    </row>
    <row r="14" spans="1:3" x14ac:dyDescent="0.25">
      <c r="A14" s="51" t="str">
        <f>'MN layout (2x)'!A16</f>
        <v>1678-070 (043)_post_v3</v>
      </c>
      <c r="B14" s="37">
        <f>'MN results 1'!AG20</f>
        <v>1016</v>
      </c>
      <c r="C14" s="4">
        <f>'MN results 2'!AG20</f>
        <v>1810</v>
      </c>
    </row>
    <row r="15" spans="1:3" x14ac:dyDescent="0.25">
      <c r="A15" s="51" t="str">
        <f>'MN layout (2x)'!A17</f>
        <v>1678-074_pv2</v>
      </c>
      <c r="B15" s="37">
        <f>'MN results 1'!AG21</f>
        <v>57</v>
      </c>
      <c r="C15" s="4">
        <f>'MN results 2'!AG21</f>
        <v>80</v>
      </c>
    </row>
    <row r="16" spans="1:3" x14ac:dyDescent="0.25">
      <c r="A16" s="51" t="str">
        <f>'MN layout (2x)'!A18</f>
        <v>1678-074_post_v3</v>
      </c>
      <c r="B16" s="37">
        <f>'MN results 1'!AG22</f>
        <v>1810</v>
      </c>
      <c r="C16" s="4">
        <f>'MN results 2'!AG22</f>
        <v>1810</v>
      </c>
    </row>
    <row r="17" spans="1:3" x14ac:dyDescent="0.25">
      <c r="A17" s="51" t="str">
        <f>'MN layout (2x)'!A19</f>
        <v>1678-097_pv2</v>
      </c>
      <c r="B17" s="37">
        <f>'MN results 1'!AG23</f>
        <v>403</v>
      </c>
      <c r="C17" s="4">
        <f>'MN results 2'!AG23</f>
        <v>254</v>
      </c>
    </row>
    <row r="18" spans="1:3" x14ac:dyDescent="0.25">
      <c r="A18" s="51" t="str">
        <f>'MN layout (2x)'!A20</f>
        <v>1678-097_post_v3</v>
      </c>
      <c r="B18" s="37">
        <f>'MN results 1'!AG24</f>
        <v>508</v>
      </c>
      <c r="C18" s="4">
        <f>'MN results 2'!AG24</f>
        <v>806</v>
      </c>
    </row>
    <row r="19" spans="1:3" x14ac:dyDescent="0.25">
      <c r="A19" s="51" t="str">
        <f>'MN layout (2x)'!A21</f>
        <v>1678-044(101)_post_inf_visit</v>
      </c>
      <c r="B19" s="37">
        <f>'MN results 1'!AG25</f>
        <v>1016</v>
      </c>
      <c r="C19" s="4">
        <f>'MN results 2'!AG25</f>
        <v>2560</v>
      </c>
    </row>
    <row r="20" spans="1:3" x14ac:dyDescent="0.25">
      <c r="A20" s="51" t="str">
        <f>'MN layout (2x)'!A22</f>
        <v>1678-061(117)_post_inf_visit</v>
      </c>
      <c r="B20" s="37">
        <f>'MN results 1'!AG26</f>
        <v>640</v>
      </c>
      <c r="C20" s="4">
        <f>'MN results 2'!AG26</f>
        <v>1016</v>
      </c>
    </row>
    <row r="21" spans="1:3" x14ac:dyDescent="0.25">
      <c r="A21" s="51" t="str">
        <f>'MN layout (2x)'!A23</f>
        <v>1678-066(122)_post_inf_visit</v>
      </c>
      <c r="B21" s="37">
        <f>'MN results 1'!AG27</f>
        <v>453</v>
      </c>
      <c r="C21" s="4">
        <f>'MN results 2'!AG27</f>
        <v>403</v>
      </c>
    </row>
    <row r="22" spans="1:3" x14ac:dyDescent="0.25">
      <c r="A22" s="51" t="str">
        <f>'MN layout (2x)'!A24</f>
        <v>1678-070(126)_post_inf_visit</v>
      </c>
      <c r="B22" s="37">
        <f>'MN results 1'!AG28</f>
        <v>508</v>
      </c>
      <c r="C22" s="4">
        <f>'MN results 2'!AG28</f>
        <v>508</v>
      </c>
    </row>
    <row r="23" spans="1:3" x14ac:dyDescent="0.25">
      <c r="A23" s="51" t="str">
        <f>'MN layout (2x)'!A25</f>
        <v>1678-078(037)_post_inf_visit</v>
      </c>
      <c r="B23" s="37">
        <f>'MN results 1'!AG29</f>
        <v>320</v>
      </c>
      <c r="C23" s="4">
        <f>'MN results 2'!AG29</f>
        <v>403</v>
      </c>
    </row>
    <row r="24" spans="1:3" x14ac:dyDescent="0.25">
      <c r="A24" s="51" t="str">
        <f>'MN layout (2x)'!A26</f>
        <v>1678-090(144)_post_inf_visit</v>
      </c>
      <c r="B24" s="37">
        <f>'MN results 1'!AG30</f>
        <v>905</v>
      </c>
      <c r="C24" s="4">
        <f>'MN results 2'!AG30</f>
        <v>806</v>
      </c>
    </row>
    <row r="25" spans="1:3" x14ac:dyDescent="0.25">
      <c r="A25" s="51" t="str">
        <f>'MN layout (2x)'!A27</f>
        <v>1678-091(145)_post_inf_visit</v>
      </c>
      <c r="B25" s="37">
        <f>'MN results 1'!AG31</f>
        <v>453</v>
      </c>
      <c r="C25" s="4">
        <f>'MN results 2'!AG31</f>
        <v>640</v>
      </c>
    </row>
    <row r="26" spans="1:3" x14ac:dyDescent="0.25">
      <c r="A26" s="51" t="str">
        <f>'MN layout (2x)'!A28</f>
        <v>1678-095(149)_post_inf_visit</v>
      </c>
      <c r="B26" s="37">
        <f>'MN results 1'!AG32</f>
        <v>453</v>
      </c>
      <c r="C26" s="4">
        <f>'MN results 2'!AG32</f>
        <v>2032</v>
      </c>
    </row>
    <row r="27" spans="1:3" x14ac:dyDescent="0.25">
      <c r="A27" s="51" t="str">
        <f>'MN layout (2x)'!A29</f>
        <v>1678-099(153)_post_inf_visit</v>
      </c>
      <c r="B27" s="37">
        <f>'MN results 1'!AG33</f>
        <v>1016</v>
      </c>
      <c r="C27" s="4">
        <f>'MN results 2'!AG33</f>
        <v>2032</v>
      </c>
    </row>
    <row r="28" spans="1:3" x14ac:dyDescent="0.25">
      <c r="A28" s="51" t="str">
        <f>'MN layout (2x)'!A30</f>
        <v>1678-SM_post_inf_visit</v>
      </c>
      <c r="B28" s="37">
        <f>'MN results 1'!AG34</f>
        <v>320</v>
      </c>
      <c r="C28" s="4">
        <f>'MN results 2'!AG34</f>
        <v>508</v>
      </c>
    </row>
    <row r="29" spans="1:3" x14ac:dyDescent="0.25">
      <c r="A29" s="51" t="str">
        <f>'MN layout (2x)'!A31</f>
        <v>NIBSC 21/338</v>
      </c>
      <c r="B29" s="37">
        <f>'MN results 1'!AG35</f>
        <v>1810</v>
      </c>
      <c r="C29" s="4">
        <f>'MN results 2'!AG35</f>
        <v>2560</v>
      </c>
    </row>
    <row r="30" spans="1:3" x14ac:dyDescent="0.25">
      <c r="A30" s="51" t="str">
        <f>'MN layout (2x)'!A32</f>
        <v>NIBSC 20/142</v>
      </c>
      <c r="B30" s="37" t="str">
        <f>'MN results 1'!AG36</f>
        <v>&lt;20</v>
      </c>
      <c r="C30" s="4">
        <f>'MN results 2'!AG36</f>
        <v>40</v>
      </c>
    </row>
    <row r="31" spans="1:3" x14ac:dyDescent="0.25">
      <c r="A31" s="51" t="str">
        <f>'MN layout (2x)'!A33</f>
        <v>Neg 4</v>
      </c>
      <c r="B31" s="37" t="str">
        <f>'MN results 1'!AG37</f>
        <v>&lt;20</v>
      </c>
      <c r="C31" s="4">
        <f>'MN results 2'!AG37</f>
        <v>20</v>
      </c>
    </row>
    <row r="32" spans="1:3" x14ac:dyDescent="0.25">
      <c r="A32" s="51"/>
      <c r="B32" s="37"/>
      <c r="C32" s="4"/>
    </row>
    <row r="33" spans="1:3" x14ac:dyDescent="0.25">
      <c r="A33" s="51"/>
      <c r="B33" s="37"/>
      <c r="C33" s="4"/>
    </row>
    <row r="34" spans="1:3" x14ac:dyDescent="0.25">
      <c r="A34" s="51"/>
      <c r="B34" s="37"/>
      <c r="C34" s="4"/>
    </row>
    <row r="35" spans="1:3" x14ac:dyDescent="0.25">
      <c r="A35" s="51"/>
      <c r="B35" s="37"/>
      <c r="C35" s="4"/>
    </row>
    <row r="36" spans="1:3" x14ac:dyDescent="0.25">
      <c r="A36" s="51"/>
      <c r="B36" s="37"/>
      <c r="C36" s="4"/>
    </row>
    <row r="37" spans="1:3" x14ac:dyDescent="0.25">
      <c r="A37" s="51"/>
      <c r="B37" s="37"/>
      <c r="C37" s="4"/>
    </row>
    <row r="38" spans="1:3" x14ac:dyDescent="0.25">
      <c r="A38" s="51"/>
      <c r="B38" s="37"/>
      <c r="C38" s="4"/>
    </row>
    <row r="39" spans="1:3" x14ac:dyDescent="0.25">
      <c r="A39" s="51"/>
      <c r="B39" s="37"/>
      <c r="C39" s="4"/>
    </row>
    <row r="40" spans="1:3" x14ac:dyDescent="0.25">
      <c r="A40" s="51"/>
      <c r="B40" s="37"/>
      <c r="C40" s="4"/>
    </row>
    <row r="41" spans="1:3" x14ac:dyDescent="0.25">
      <c r="A41" s="51"/>
      <c r="B41" s="37"/>
      <c r="C41" s="4"/>
    </row>
    <row r="42" spans="1:3" x14ac:dyDescent="0.25">
      <c r="A42" s="51"/>
      <c r="B42" s="37"/>
      <c r="C42" s="4"/>
    </row>
    <row r="43" spans="1:3" x14ac:dyDescent="0.25">
      <c r="A43" s="51"/>
      <c r="B43" s="37"/>
      <c r="C43" s="4"/>
    </row>
    <row r="44" spans="1:3" x14ac:dyDescent="0.25">
      <c r="A44" s="51"/>
      <c r="B44" s="37"/>
      <c r="C44" s="4"/>
    </row>
    <row r="45" spans="1:3" x14ac:dyDescent="0.25">
      <c r="A45" s="51"/>
      <c r="B45" s="37"/>
      <c r="C45" s="4"/>
    </row>
    <row r="46" spans="1:3" x14ac:dyDescent="0.25">
      <c r="A46" s="51"/>
      <c r="B46" s="37"/>
      <c r="C46" s="4"/>
    </row>
    <row r="47" spans="1:3" x14ac:dyDescent="0.25">
      <c r="A47" s="51"/>
      <c r="B47" s="37"/>
      <c r="C47" s="4"/>
    </row>
    <row r="48" spans="1:3" x14ac:dyDescent="0.25">
      <c r="A48" s="51"/>
      <c r="B48" s="37"/>
      <c r="C48" s="4"/>
    </row>
    <row r="49" spans="1:3" x14ac:dyDescent="0.25">
      <c r="A49" s="51"/>
      <c r="B49" s="37"/>
      <c r="C49" s="4"/>
    </row>
    <row r="50" spans="1:3" x14ac:dyDescent="0.25">
      <c r="A50" s="51"/>
      <c r="B50" s="37"/>
      <c r="C50" s="4"/>
    </row>
    <row r="51" spans="1:3" x14ac:dyDescent="0.25">
      <c r="A51" s="51"/>
      <c r="B51" s="37"/>
      <c r="C51" s="4"/>
    </row>
    <row r="52" spans="1:3" x14ac:dyDescent="0.25">
      <c r="A52" s="51"/>
      <c r="B52" s="37"/>
      <c r="C52" s="4"/>
    </row>
    <row r="53" spans="1:3" x14ac:dyDescent="0.25">
      <c r="A53" s="51"/>
      <c r="B53" s="37"/>
      <c r="C53" s="4"/>
    </row>
    <row r="54" spans="1:3" x14ac:dyDescent="0.25">
      <c r="A54" s="51"/>
      <c r="B54" s="37"/>
      <c r="C54" s="4"/>
    </row>
    <row r="55" spans="1:3" x14ac:dyDescent="0.25">
      <c r="A55" s="51"/>
      <c r="B55" s="37"/>
      <c r="C55" s="4"/>
    </row>
    <row r="56" spans="1:3" x14ac:dyDescent="0.25">
      <c r="A56" s="51"/>
      <c r="B56" s="37"/>
      <c r="C56" s="4"/>
    </row>
    <row r="57" spans="1:3" x14ac:dyDescent="0.25">
      <c r="A57" s="51"/>
      <c r="B57" s="37"/>
      <c r="C57" s="4"/>
    </row>
    <row r="58" spans="1:3" x14ac:dyDescent="0.25">
      <c r="A58" s="51"/>
      <c r="B58" s="37"/>
      <c r="C58" s="4"/>
    </row>
    <row r="59" spans="1:3" x14ac:dyDescent="0.25">
      <c r="A59" s="51"/>
      <c r="B59" s="37"/>
      <c r="C59" s="4"/>
    </row>
    <row r="60" spans="1:3" x14ac:dyDescent="0.25">
      <c r="A60" s="51"/>
      <c r="B60" s="37"/>
      <c r="C60" s="4"/>
    </row>
    <row r="61" spans="1:3" x14ac:dyDescent="0.25">
      <c r="A61" s="51"/>
      <c r="B61" s="37"/>
      <c r="C61" s="4"/>
    </row>
    <row r="62" spans="1:3" x14ac:dyDescent="0.25">
      <c r="A62" s="51"/>
      <c r="B62" s="37"/>
      <c r="C62" s="4"/>
    </row>
    <row r="63" spans="1:3" x14ac:dyDescent="0.25">
      <c r="A63" s="51"/>
      <c r="B63" s="37"/>
      <c r="C63" s="4"/>
    </row>
    <row r="64" spans="1:3" x14ac:dyDescent="0.25">
      <c r="A64" s="51"/>
      <c r="B64" s="37"/>
      <c r="C64" s="4"/>
    </row>
    <row r="65" spans="1:3" x14ac:dyDescent="0.25">
      <c r="A65" s="51"/>
      <c r="B65" s="37"/>
      <c r="C65" s="4"/>
    </row>
    <row r="66" spans="1:3" x14ac:dyDescent="0.25">
      <c r="A66" s="51"/>
      <c r="B66" s="37"/>
      <c r="C66" s="4"/>
    </row>
    <row r="67" spans="1:3" x14ac:dyDescent="0.25">
      <c r="A67" s="51"/>
      <c r="B67" s="37"/>
      <c r="C67" s="4"/>
    </row>
    <row r="68" spans="1:3" x14ac:dyDescent="0.25">
      <c r="A68" s="51"/>
      <c r="B68" s="37"/>
      <c r="C68" s="4"/>
    </row>
    <row r="69" spans="1:3" x14ac:dyDescent="0.25">
      <c r="A69" s="51"/>
      <c r="B69" s="37"/>
      <c r="C69" s="4"/>
    </row>
    <row r="70" spans="1:3" x14ac:dyDescent="0.25">
      <c r="A70" s="51"/>
      <c r="B70" s="37"/>
      <c r="C70" s="4"/>
    </row>
    <row r="71" spans="1:3" x14ac:dyDescent="0.25">
      <c r="A71" s="51"/>
      <c r="B71" s="37"/>
      <c r="C71" s="4"/>
    </row>
    <row r="72" spans="1:3" x14ac:dyDescent="0.25">
      <c r="A72" s="51"/>
      <c r="B72" s="37"/>
      <c r="C72" s="4"/>
    </row>
    <row r="73" spans="1:3" x14ac:dyDescent="0.25">
      <c r="A73" s="51"/>
      <c r="B73" s="37"/>
      <c r="C73" s="4"/>
    </row>
    <row r="74" spans="1:3" x14ac:dyDescent="0.25">
      <c r="A74" s="51"/>
      <c r="B74" s="37"/>
      <c r="C74" s="4"/>
    </row>
    <row r="75" spans="1:3" x14ac:dyDescent="0.25">
      <c r="A75" s="51"/>
      <c r="B75" s="37"/>
      <c r="C75" s="4"/>
    </row>
    <row r="76" spans="1:3" x14ac:dyDescent="0.25">
      <c r="A76" s="51"/>
      <c r="B76" s="37"/>
      <c r="C76" s="4"/>
    </row>
    <row r="77" spans="1:3" x14ac:dyDescent="0.25">
      <c r="A77" s="51"/>
      <c r="B77" s="37"/>
      <c r="C77" s="4"/>
    </row>
    <row r="78" spans="1:3" x14ac:dyDescent="0.25">
      <c r="A78" s="51"/>
      <c r="B78" s="37"/>
      <c r="C78" s="4"/>
    </row>
    <row r="79" spans="1:3" x14ac:dyDescent="0.25">
      <c r="A79" s="51"/>
      <c r="B79" s="37"/>
      <c r="C79" s="4"/>
    </row>
    <row r="80" spans="1:3" x14ac:dyDescent="0.25">
      <c r="A80" s="51"/>
      <c r="B80" s="37"/>
      <c r="C80" s="4"/>
    </row>
    <row r="81" spans="1:3" x14ac:dyDescent="0.25">
      <c r="A81" s="51"/>
      <c r="B81" s="37"/>
      <c r="C81" s="4"/>
    </row>
    <row r="82" spans="1:3" x14ac:dyDescent="0.25">
      <c r="A82" s="51"/>
      <c r="B82" s="37"/>
      <c r="C82" s="4"/>
    </row>
    <row r="83" spans="1:3" x14ac:dyDescent="0.25">
      <c r="A83" s="51"/>
      <c r="B83" s="37"/>
      <c r="C83" s="4"/>
    </row>
    <row r="84" spans="1:3" x14ac:dyDescent="0.25">
      <c r="A84" s="51"/>
      <c r="B84" s="37"/>
      <c r="C84" s="4"/>
    </row>
    <row r="85" spans="1:3" x14ac:dyDescent="0.25">
      <c r="A85" s="51"/>
      <c r="B85" s="37"/>
      <c r="C85" s="4"/>
    </row>
    <row r="86" spans="1:3" x14ac:dyDescent="0.25">
      <c r="A86" s="51"/>
      <c r="B86" s="37"/>
      <c r="C86" s="4"/>
    </row>
    <row r="87" spans="1:3" x14ac:dyDescent="0.25">
      <c r="A87" s="51"/>
      <c r="B87" s="37"/>
      <c r="C87" s="4"/>
    </row>
    <row r="88" spans="1:3" x14ac:dyDescent="0.25">
      <c r="A88" s="51"/>
      <c r="B88" s="37"/>
      <c r="C88" s="4"/>
    </row>
    <row r="89" spans="1:3" x14ac:dyDescent="0.25">
      <c r="A89" s="51"/>
      <c r="B89" s="37"/>
      <c r="C89" s="4"/>
    </row>
    <row r="90" spans="1:3" x14ac:dyDescent="0.25">
      <c r="A90" s="51"/>
      <c r="B90" s="37"/>
      <c r="C90" s="4"/>
    </row>
    <row r="91" spans="1:3" x14ac:dyDescent="0.25">
      <c r="A91" s="51"/>
      <c r="B91" s="37"/>
      <c r="C91" s="4"/>
    </row>
    <row r="92" spans="1:3" x14ac:dyDescent="0.25">
      <c r="A92" s="51"/>
      <c r="B92" s="37"/>
      <c r="C92" s="4"/>
    </row>
    <row r="93" spans="1:3" x14ac:dyDescent="0.25">
      <c r="A93" s="51"/>
      <c r="B93" s="37"/>
      <c r="C93" s="4"/>
    </row>
    <row r="94" spans="1:3" x14ac:dyDescent="0.25">
      <c r="A94" s="51"/>
      <c r="B94" s="37"/>
      <c r="C94" s="4"/>
    </row>
    <row r="95" spans="1:3" x14ac:dyDescent="0.25">
      <c r="A95" s="51"/>
      <c r="B95" s="37"/>
      <c r="C95" s="4"/>
    </row>
    <row r="96" spans="1:3" x14ac:dyDescent="0.25">
      <c r="A96" s="51"/>
      <c r="B96" s="37"/>
      <c r="C96" s="4"/>
    </row>
    <row r="97" spans="1:3" x14ac:dyDescent="0.25">
      <c r="A97" s="51"/>
      <c r="B97" s="37"/>
      <c r="C97" s="4"/>
    </row>
    <row r="98" spans="1:3" x14ac:dyDescent="0.25">
      <c r="A98" s="51"/>
      <c r="B98" s="37"/>
      <c r="C98" s="4"/>
    </row>
    <row r="99" spans="1:3" x14ac:dyDescent="0.25">
      <c r="A99" s="51"/>
      <c r="B99" s="37"/>
      <c r="C99" s="4"/>
    </row>
    <row r="100" spans="1:3" x14ac:dyDescent="0.25">
      <c r="A100" s="51"/>
      <c r="B100" s="37"/>
      <c r="C100" s="4"/>
    </row>
    <row r="101" spans="1:3" x14ac:dyDescent="0.25">
      <c r="A101" s="51"/>
      <c r="B101" s="37"/>
      <c r="C101" s="4"/>
    </row>
    <row r="102" spans="1:3" x14ac:dyDescent="0.25">
      <c r="A102" s="51"/>
      <c r="B102" s="37"/>
      <c r="C102" s="4"/>
    </row>
    <row r="103" spans="1:3" x14ac:dyDescent="0.25">
      <c r="A103" s="51"/>
      <c r="B103" s="37"/>
      <c r="C103" s="4"/>
    </row>
    <row r="104" spans="1:3" x14ac:dyDescent="0.25">
      <c r="A104" s="51"/>
      <c r="B104" s="37"/>
      <c r="C104" s="4"/>
    </row>
    <row r="105" spans="1:3" x14ac:dyDescent="0.25">
      <c r="A105" s="51"/>
      <c r="B105" s="37"/>
      <c r="C105" s="4"/>
    </row>
    <row r="106" spans="1:3" x14ac:dyDescent="0.25">
      <c r="A106" s="51"/>
      <c r="B106" s="37"/>
      <c r="C106" s="4"/>
    </row>
    <row r="107" spans="1:3" x14ac:dyDescent="0.25">
      <c r="A107" s="51"/>
      <c r="B107" s="37"/>
      <c r="C107" s="4"/>
    </row>
    <row r="108" spans="1:3" x14ac:dyDescent="0.25">
      <c r="A108" s="51"/>
      <c r="B108" s="37"/>
      <c r="C108" s="4"/>
    </row>
    <row r="109" spans="1:3" x14ac:dyDescent="0.25">
      <c r="A109" s="51"/>
      <c r="B109" s="37"/>
      <c r="C109" s="4"/>
    </row>
    <row r="110" spans="1:3" x14ac:dyDescent="0.25">
      <c r="A110" s="51"/>
      <c r="B110" s="37"/>
      <c r="C110" s="4"/>
    </row>
    <row r="111" spans="1:3" x14ac:dyDescent="0.25">
      <c r="A111" s="51"/>
      <c r="B111" s="37"/>
      <c r="C111" s="4"/>
    </row>
    <row r="112" spans="1:3" x14ac:dyDescent="0.25">
      <c r="A112" s="51"/>
      <c r="B112" s="37"/>
      <c r="C112" s="4"/>
    </row>
    <row r="113" spans="1:3" x14ac:dyDescent="0.25">
      <c r="A113" s="51"/>
      <c r="B113" s="37"/>
      <c r="C113" s="4"/>
    </row>
    <row r="114" spans="1:3" x14ac:dyDescent="0.25">
      <c r="A114" s="51"/>
      <c r="B114" s="37"/>
      <c r="C114" s="4"/>
    </row>
    <row r="115" spans="1:3" x14ac:dyDescent="0.25">
      <c r="A115" s="51"/>
      <c r="B115" s="37"/>
      <c r="C115" s="4"/>
    </row>
    <row r="116" spans="1:3" x14ac:dyDescent="0.25">
      <c r="A116" s="51"/>
      <c r="B116" s="37"/>
      <c r="C116" s="4"/>
    </row>
    <row r="117" spans="1:3" x14ac:dyDescent="0.25">
      <c r="A117" s="51"/>
      <c r="B117" s="37"/>
      <c r="C117" s="4"/>
    </row>
    <row r="118" spans="1:3" x14ac:dyDescent="0.25">
      <c r="A118" s="51"/>
      <c r="B118" s="37"/>
      <c r="C118" s="4"/>
    </row>
    <row r="119" spans="1:3" x14ac:dyDescent="0.25">
      <c r="A119" s="51"/>
      <c r="B119" s="37"/>
      <c r="C119" s="4"/>
    </row>
    <row r="120" spans="1:3" x14ac:dyDescent="0.25">
      <c r="A120" s="51"/>
      <c r="B120" s="37"/>
      <c r="C120" s="4"/>
    </row>
    <row r="121" spans="1:3" x14ac:dyDescent="0.25">
      <c r="A121" s="51"/>
      <c r="B121" s="37"/>
      <c r="C121" s="4"/>
    </row>
    <row r="122" spans="1:3" x14ac:dyDescent="0.25">
      <c r="A122" s="51"/>
      <c r="B122" s="37"/>
      <c r="C122" s="4"/>
    </row>
    <row r="123" spans="1:3" x14ac:dyDescent="0.25">
      <c r="A123" s="51"/>
      <c r="B123" s="37"/>
      <c r="C123" s="4"/>
    </row>
    <row r="124" spans="1:3" x14ac:dyDescent="0.25">
      <c r="A124" s="51"/>
      <c r="B124" s="37"/>
      <c r="C124" s="4"/>
    </row>
    <row r="125" spans="1:3" x14ac:dyDescent="0.25">
      <c r="A125" s="51"/>
      <c r="B125" s="37"/>
      <c r="C125" s="4"/>
    </row>
    <row r="126" spans="1:3" x14ac:dyDescent="0.25">
      <c r="A126" s="51"/>
      <c r="B126" s="37"/>
      <c r="C126" s="4"/>
    </row>
    <row r="127" spans="1:3" x14ac:dyDescent="0.25">
      <c r="A127" s="51"/>
      <c r="B127" s="37"/>
      <c r="C127" s="4"/>
    </row>
    <row r="128" spans="1:3" x14ac:dyDescent="0.25">
      <c r="A128" s="51"/>
      <c r="B128" s="37"/>
      <c r="C128" s="4"/>
    </row>
    <row r="129" spans="1:3" x14ac:dyDescent="0.25">
      <c r="A129" s="51"/>
      <c r="B129" s="37"/>
      <c r="C129" s="4"/>
    </row>
    <row r="130" spans="1:3" x14ac:dyDescent="0.25">
      <c r="A130" s="51"/>
      <c r="B130" s="37"/>
      <c r="C130" s="4"/>
    </row>
    <row r="131" spans="1:3" x14ac:dyDescent="0.25">
      <c r="A131" s="51"/>
      <c r="B131" s="37"/>
      <c r="C131" s="4"/>
    </row>
    <row r="132" spans="1:3" x14ac:dyDescent="0.25">
      <c r="A132" s="51"/>
      <c r="B132" s="37"/>
      <c r="C132" s="4"/>
    </row>
    <row r="133" spans="1:3" x14ac:dyDescent="0.25">
      <c r="A133" s="51"/>
      <c r="B133" s="37"/>
      <c r="C133" s="4"/>
    </row>
    <row r="134" spans="1:3" x14ac:dyDescent="0.25">
      <c r="A134" s="51"/>
      <c r="B134" s="37"/>
      <c r="C134" s="4"/>
    </row>
    <row r="135" spans="1:3" x14ac:dyDescent="0.25">
      <c r="A135" s="51"/>
      <c r="B135" s="37"/>
      <c r="C135" s="4"/>
    </row>
    <row r="136" spans="1:3" x14ac:dyDescent="0.25">
      <c r="A136" s="51"/>
      <c r="B136" s="37"/>
      <c r="C136" s="4"/>
    </row>
    <row r="137" spans="1:3" x14ac:dyDescent="0.25">
      <c r="A137" s="51"/>
      <c r="B137" s="37"/>
      <c r="C137" s="4"/>
    </row>
    <row r="138" spans="1:3" x14ac:dyDescent="0.25">
      <c r="A138" s="51"/>
      <c r="B138" s="37"/>
      <c r="C138" s="4"/>
    </row>
    <row r="139" spans="1:3" x14ac:dyDescent="0.25">
      <c r="A139" s="51"/>
      <c r="B139" s="37"/>
      <c r="C139" s="4"/>
    </row>
    <row r="140" spans="1:3" x14ac:dyDescent="0.25">
      <c r="A140" s="51"/>
      <c r="B140" s="37"/>
      <c r="C140" s="4"/>
    </row>
    <row r="141" spans="1:3" x14ac:dyDescent="0.25">
      <c r="A141" s="51"/>
      <c r="B141" s="37"/>
      <c r="C141" s="4"/>
    </row>
    <row r="142" spans="1:3" x14ac:dyDescent="0.25">
      <c r="A142" s="51"/>
      <c r="B142" s="37"/>
      <c r="C142" s="4"/>
    </row>
    <row r="143" spans="1:3" x14ac:dyDescent="0.25">
      <c r="A143" s="51"/>
      <c r="B143" s="37"/>
      <c r="C143" s="4"/>
    </row>
    <row r="144" spans="1:3" x14ac:dyDescent="0.25">
      <c r="A144" s="51"/>
      <c r="B144" s="37"/>
      <c r="C144" s="4"/>
    </row>
    <row r="145" spans="1:3" x14ac:dyDescent="0.25">
      <c r="A145" s="51"/>
      <c r="B145" s="37"/>
      <c r="C145" s="4"/>
    </row>
    <row r="146" spans="1:3" x14ac:dyDescent="0.25">
      <c r="A146" s="51"/>
      <c r="B146" s="37"/>
      <c r="C146" s="4"/>
    </row>
    <row r="147" spans="1:3" x14ac:dyDescent="0.25">
      <c r="A147" s="51"/>
      <c r="B147" s="37"/>
      <c r="C147" s="4"/>
    </row>
    <row r="148" spans="1:3" x14ac:dyDescent="0.25">
      <c r="A148" s="51"/>
      <c r="B148" s="37"/>
      <c r="C148" s="4"/>
    </row>
    <row r="149" spans="1:3" x14ac:dyDescent="0.25">
      <c r="A149" s="51"/>
      <c r="B149" s="37"/>
      <c r="C149" s="4"/>
    </row>
    <row r="150" spans="1:3" x14ac:dyDescent="0.25">
      <c r="A150" s="51"/>
      <c r="B150" s="37"/>
      <c r="C150" s="4"/>
    </row>
    <row r="151" spans="1:3" x14ac:dyDescent="0.25">
      <c r="A151" s="51"/>
      <c r="B151" s="37"/>
      <c r="C151" s="4"/>
    </row>
    <row r="152" spans="1:3" x14ac:dyDescent="0.25">
      <c r="A152" s="51"/>
      <c r="B152" s="37"/>
      <c r="C152" s="4"/>
    </row>
    <row r="153" spans="1:3" x14ac:dyDescent="0.25">
      <c r="A153" s="51"/>
      <c r="B153" s="37"/>
      <c r="C153" s="4"/>
    </row>
    <row r="154" spans="1:3" x14ac:dyDescent="0.25">
      <c r="A154" s="51"/>
      <c r="B154" s="37"/>
      <c r="C154" s="4"/>
    </row>
    <row r="155" spans="1:3" x14ac:dyDescent="0.25">
      <c r="A155" s="51"/>
      <c r="B155" s="37"/>
      <c r="C155" s="4"/>
    </row>
    <row r="156" spans="1:3" x14ac:dyDescent="0.25">
      <c r="A156" s="51"/>
      <c r="B156" s="37"/>
      <c r="C156" s="4"/>
    </row>
    <row r="157" spans="1:3" x14ac:dyDescent="0.25">
      <c r="A157" s="51"/>
      <c r="B157" s="37"/>
      <c r="C157" s="4"/>
    </row>
    <row r="158" spans="1:3" x14ac:dyDescent="0.25">
      <c r="A158" s="51"/>
      <c r="B158" s="37"/>
      <c r="C158" s="4"/>
    </row>
    <row r="159" spans="1:3" x14ac:dyDescent="0.25">
      <c r="A159" s="51"/>
      <c r="B159" s="37"/>
      <c r="C159" s="4"/>
    </row>
    <row r="160" spans="1:3" x14ac:dyDescent="0.25">
      <c r="A160" s="51"/>
      <c r="B160" s="37"/>
      <c r="C160" s="4"/>
    </row>
    <row r="161" spans="1:3" x14ac:dyDescent="0.25">
      <c r="A161" s="51"/>
      <c r="B161" s="37"/>
      <c r="C161" s="4"/>
    </row>
    <row r="162" spans="1:3" x14ac:dyDescent="0.25">
      <c r="A162" s="51"/>
      <c r="B162" s="37"/>
      <c r="C162" s="4"/>
    </row>
    <row r="163" spans="1:3" x14ac:dyDescent="0.25">
      <c r="A163" s="51"/>
      <c r="B163" s="37"/>
      <c r="C163" s="4"/>
    </row>
    <row r="164" spans="1:3" x14ac:dyDescent="0.25">
      <c r="A164" s="51"/>
      <c r="B164" s="37"/>
      <c r="C164" s="4"/>
    </row>
    <row r="165" spans="1:3" x14ac:dyDescent="0.25">
      <c r="A165" s="51"/>
      <c r="B165" s="37"/>
      <c r="C165" s="4"/>
    </row>
    <row r="166" spans="1:3" x14ac:dyDescent="0.25">
      <c r="A166" s="51"/>
      <c r="B166" s="37"/>
      <c r="C166" s="4"/>
    </row>
    <row r="167" spans="1:3" x14ac:dyDescent="0.25">
      <c r="A167" s="51"/>
      <c r="B167" s="37"/>
      <c r="C167" s="4"/>
    </row>
    <row r="168" spans="1:3" x14ac:dyDescent="0.25">
      <c r="A168" s="51"/>
      <c r="B168" s="37"/>
      <c r="C168" s="4"/>
    </row>
    <row r="169" spans="1:3" x14ac:dyDescent="0.25">
      <c r="A169" s="51"/>
      <c r="B169" s="37"/>
      <c r="C169" s="4"/>
    </row>
    <row r="170" spans="1:3" x14ac:dyDescent="0.25">
      <c r="A170" s="51"/>
      <c r="B170" s="37"/>
      <c r="C170" s="4"/>
    </row>
    <row r="171" spans="1:3" x14ac:dyDescent="0.25">
      <c r="A171" s="51"/>
      <c r="B171" s="37"/>
      <c r="C171" s="4"/>
    </row>
    <row r="172" spans="1:3" x14ac:dyDescent="0.25">
      <c r="A172" s="51"/>
      <c r="B172" s="37"/>
      <c r="C172" s="4"/>
    </row>
    <row r="173" spans="1:3" x14ac:dyDescent="0.25">
      <c r="A173" s="51"/>
      <c r="B173" s="37"/>
      <c r="C173" s="4"/>
    </row>
    <row r="174" spans="1:3" x14ac:dyDescent="0.25">
      <c r="A174" s="51"/>
      <c r="B174" s="37"/>
      <c r="C174" s="4"/>
    </row>
    <row r="175" spans="1:3" x14ac:dyDescent="0.25">
      <c r="A175" s="51"/>
      <c r="B175" s="37"/>
      <c r="C175" s="4"/>
    </row>
    <row r="176" spans="1:3" x14ac:dyDescent="0.25">
      <c r="A176" s="51"/>
      <c r="B176" s="37"/>
      <c r="C176" s="4"/>
    </row>
    <row r="177" spans="1:3" x14ac:dyDescent="0.25">
      <c r="A177" s="51"/>
      <c r="B177" s="37"/>
      <c r="C177" s="4"/>
    </row>
    <row r="178" spans="1:3" x14ac:dyDescent="0.25">
      <c r="A178" s="51"/>
      <c r="B178" s="37"/>
      <c r="C178" s="4"/>
    </row>
    <row r="179" spans="1:3" x14ac:dyDescent="0.25">
      <c r="A179" s="51"/>
      <c r="B179" s="37"/>
      <c r="C179" s="4"/>
    </row>
    <row r="180" spans="1:3" x14ac:dyDescent="0.25">
      <c r="A180" s="51"/>
      <c r="B180" s="37"/>
      <c r="C180" s="4"/>
    </row>
    <row r="181" spans="1:3" x14ac:dyDescent="0.25">
      <c r="A181" s="51"/>
      <c r="B181" s="37"/>
      <c r="C181" s="4"/>
    </row>
    <row r="182" spans="1:3" x14ac:dyDescent="0.25">
      <c r="A182" s="51"/>
      <c r="B182" s="37"/>
      <c r="C182" s="4"/>
    </row>
    <row r="183" spans="1:3" x14ac:dyDescent="0.25">
      <c r="A183" s="51"/>
      <c r="B183" s="37"/>
      <c r="C183" s="4"/>
    </row>
    <row r="184" spans="1:3" x14ac:dyDescent="0.25">
      <c r="A184" s="51"/>
      <c r="B184" s="37"/>
      <c r="C184" s="4"/>
    </row>
    <row r="185" spans="1:3" x14ac:dyDescent="0.25">
      <c r="A185" s="51"/>
      <c r="B185" s="37"/>
      <c r="C185" s="4"/>
    </row>
    <row r="186" spans="1:3" x14ac:dyDescent="0.25">
      <c r="A186" s="51"/>
      <c r="B186" s="37"/>
      <c r="C186" s="4"/>
    </row>
    <row r="187" spans="1:3" x14ac:dyDescent="0.25">
      <c r="A187" s="51"/>
      <c r="B187" s="37"/>
      <c r="C187" s="4"/>
    </row>
    <row r="188" spans="1:3" x14ac:dyDescent="0.25">
      <c r="A188" s="51"/>
      <c r="B188" s="37"/>
      <c r="C188" s="4"/>
    </row>
    <row r="189" spans="1:3" x14ac:dyDescent="0.25">
      <c r="A189" s="51"/>
      <c r="B189" s="37"/>
      <c r="C189" s="4"/>
    </row>
    <row r="190" spans="1:3" x14ac:dyDescent="0.25">
      <c r="A190" s="51"/>
      <c r="B190" s="37"/>
      <c r="C190" s="4"/>
    </row>
    <row r="191" spans="1:3" x14ac:dyDescent="0.25">
      <c r="A191" s="51"/>
      <c r="B191" s="37"/>
      <c r="C191" s="4"/>
    </row>
    <row r="192" spans="1:3" x14ac:dyDescent="0.25">
      <c r="A192" s="51"/>
      <c r="B192" s="37"/>
      <c r="C192" s="4"/>
    </row>
    <row r="193" spans="1:3" x14ac:dyDescent="0.25">
      <c r="A193" s="51"/>
      <c r="B193" s="37"/>
      <c r="C193" s="4"/>
    </row>
    <row r="194" spans="1:3" x14ac:dyDescent="0.25">
      <c r="A194" s="51"/>
      <c r="B194" s="37"/>
    </row>
    <row r="195" spans="1:3" x14ac:dyDescent="0.25">
      <c r="A195" s="51"/>
      <c r="B195" s="37"/>
    </row>
    <row r="196" spans="1:3" x14ac:dyDescent="0.25">
      <c r="A196" s="51"/>
      <c r="B196" s="37"/>
    </row>
    <row r="197" spans="1:3" x14ac:dyDescent="0.25">
      <c r="A197" s="51"/>
      <c r="B197" s="37"/>
    </row>
    <row r="198" spans="1:3" x14ac:dyDescent="0.25">
      <c r="A198" s="51"/>
      <c r="B198" s="37"/>
    </row>
    <row r="199" spans="1:3" x14ac:dyDescent="0.25">
      <c r="A199" s="51"/>
      <c r="B199" s="37"/>
    </row>
    <row r="200" spans="1:3" x14ac:dyDescent="0.25">
      <c r="A200" s="51"/>
      <c r="B200" s="37"/>
    </row>
    <row r="201" spans="1:3" x14ac:dyDescent="0.25">
      <c r="A201" s="51"/>
      <c r="B201" s="37"/>
    </row>
    <row r="202" spans="1:3" x14ac:dyDescent="0.25">
      <c r="A202" s="51"/>
      <c r="B202" s="37"/>
    </row>
    <row r="203" spans="1:3" x14ac:dyDescent="0.25">
      <c r="A203" s="51"/>
      <c r="B203" s="37"/>
    </row>
    <row r="204" spans="1:3" x14ac:dyDescent="0.25">
      <c r="A204" s="51"/>
      <c r="B204" s="37"/>
    </row>
    <row r="205" spans="1:3" x14ac:dyDescent="0.25">
      <c r="A205" s="51"/>
      <c r="B205" s="37"/>
    </row>
    <row r="206" spans="1:3" x14ac:dyDescent="0.25">
      <c r="A206" s="51"/>
      <c r="B206" s="37"/>
    </row>
    <row r="207" spans="1:3" x14ac:dyDescent="0.25">
      <c r="A207" s="51"/>
      <c r="B207" s="37"/>
    </row>
    <row r="208" spans="1:3" x14ac:dyDescent="0.25">
      <c r="A208" s="51"/>
      <c r="B208" s="37"/>
    </row>
    <row r="209" spans="1:2" x14ac:dyDescent="0.25">
      <c r="A209" s="51"/>
      <c r="B209" s="37"/>
    </row>
    <row r="210" spans="1:2" x14ac:dyDescent="0.25">
      <c r="A210" s="51"/>
      <c r="B210" s="37"/>
    </row>
    <row r="211" spans="1:2" x14ac:dyDescent="0.25">
      <c r="A211" s="51"/>
      <c r="B211" s="37"/>
    </row>
    <row r="212" spans="1:2" x14ac:dyDescent="0.25">
      <c r="A212" s="51"/>
      <c r="B212" s="37"/>
    </row>
    <row r="213" spans="1:2" x14ac:dyDescent="0.25">
      <c r="A213" s="51"/>
      <c r="B213" s="37"/>
    </row>
    <row r="214" spans="1:2" x14ac:dyDescent="0.25">
      <c r="A214" s="51"/>
      <c r="B214" s="37"/>
    </row>
    <row r="215" spans="1:2" x14ac:dyDescent="0.25">
      <c r="A215" s="51"/>
      <c r="B215" s="37"/>
    </row>
    <row r="216" spans="1:2" x14ac:dyDescent="0.25">
      <c r="A216" s="51"/>
      <c r="B216" s="37"/>
    </row>
    <row r="217" spans="1:2" x14ac:dyDescent="0.25">
      <c r="A217" s="51"/>
      <c r="B217" s="37"/>
    </row>
    <row r="218" spans="1:2" x14ac:dyDescent="0.25">
      <c r="A218" s="51"/>
      <c r="B218" s="37"/>
    </row>
    <row r="219" spans="1:2" x14ac:dyDescent="0.25">
      <c r="A219" s="51"/>
      <c r="B219" s="37"/>
    </row>
    <row r="220" spans="1:2" x14ac:dyDescent="0.25">
      <c r="A220" s="51"/>
      <c r="B220" s="37"/>
    </row>
    <row r="221" spans="1:2" x14ac:dyDescent="0.25">
      <c r="A221" s="51"/>
      <c r="B221" s="37"/>
    </row>
    <row r="222" spans="1:2" x14ac:dyDescent="0.25">
      <c r="A222" s="51"/>
      <c r="B222" s="37"/>
    </row>
    <row r="223" spans="1:2" x14ac:dyDescent="0.25">
      <c r="A223" s="51"/>
      <c r="B223" s="37"/>
    </row>
    <row r="224" spans="1:2" x14ac:dyDescent="0.25">
      <c r="A224" s="51"/>
      <c r="B224" s="37"/>
    </row>
    <row r="225" spans="1:2" x14ac:dyDescent="0.25">
      <c r="A225" s="51"/>
      <c r="B225" s="37"/>
    </row>
  </sheetData>
  <conditionalFormatting sqref="A2:A1048576">
    <cfRule type="expression" dxfId="1" priority="58">
      <formula>#REF!&gt;($B2*2.1)</formula>
    </cfRule>
    <cfRule type="expression" dxfId="0" priority="59">
      <formula>$B2&gt;(#REF!*2.1)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82A2D3555884CB771BE97E52D3115" ma:contentTypeVersion="19" ma:contentTypeDescription="Create a new document." ma:contentTypeScope="" ma:versionID="dd6daac4acb9c2204ed394ce7b8218c5">
  <xsd:schema xmlns:xsd="http://www.w3.org/2001/XMLSchema" xmlns:xs="http://www.w3.org/2001/XMLSchema" xmlns:p="http://schemas.microsoft.com/office/2006/metadata/properties" xmlns:ns2="940c4600-7d1a-49e1-aa15-219fdccaff2c" xmlns:ns3="4f2fb40f-cad9-42b1-8429-6e3e59365347" targetNamespace="http://schemas.microsoft.com/office/2006/metadata/properties" ma:root="true" ma:fieldsID="31269602bebb2309694dbf45d6409a30" ns2:_="" ns3:_="">
    <xsd:import namespace="940c4600-7d1a-49e1-aa15-219fdccaff2c"/>
    <xsd:import namespace="4f2fb40f-cad9-42b1-8429-6e3e59365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Isimag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c4600-7d1a-49e1-aa15-219fdccaf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simage" ma:index="25" nillable="true" ma:displayName="Is image" ma:format="Thumbnail" ma:internalName="Isimag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fb40f-cad9-42b1-8429-6e3e5936534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63b1c2-3797-41fa-8f39-2c02c56891ab}" ma:internalName="TaxCatchAll" ma:showField="CatchAllData" ma:web="4f2fb40f-cad9-42b1-8429-6e3e593653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fb40f-cad9-42b1-8429-6e3e59365347" xsi:nil="true"/>
    <lcf76f155ced4ddcb4097134ff3c332f xmlns="940c4600-7d1a-49e1-aa15-219fdccaff2c">
      <Terms xmlns="http://schemas.microsoft.com/office/infopath/2007/PartnerControls"/>
    </lcf76f155ced4ddcb4097134ff3c332f>
    <_Flow_SignoffStatus xmlns="940c4600-7d1a-49e1-aa15-219fdccaff2c" xsi:nil="true"/>
    <Isimage xmlns="940c4600-7d1a-49e1-aa15-219fdccaff2c" xsi:nil="true"/>
  </documentManagement>
</p:properties>
</file>

<file path=customXml/itemProps1.xml><?xml version="1.0" encoding="utf-8"?>
<ds:datastoreItem xmlns:ds="http://schemas.openxmlformats.org/officeDocument/2006/customXml" ds:itemID="{0686BD51-5C4D-4BAB-91BB-9BF90A1C6FD8}"/>
</file>

<file path=customXml/itemProps2.xml><?xml version="1.0" encoding="utf-8"?>
<ds:datastoreItem xmlns:ds="http://schemas.openxmlformats.org/officeDocument/2006/customXml" ds:itemID="{2CFBB689-D870-4892-BB45-D0036D53D4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366F5E-0B96-469C-A32E-596914B60D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MN layout (2x)</vt:lpstr>
      <vt:lpstr>MN protocol</vt:lpstr>
      <vt:lpstr>MN results 1</vt:lpstr>
      <vt:lpstr>MN results 2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Mordant</dc:creator>
  <cp:keywords/>
  <dc:description/>
  <cp:lastModifiedBy>Francesca Mordant</cp:lastModifiedBy>
  <cp:revision/>
  <dcterms:created xsi:type="dcterms:W3CDTF">2020-02-26T04:48:50Z</dcterms:created>
  <dcterms:modified xsi:type="dcterms:W3CDTF">2024-07-23T03:06:00Z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0x010100789622027D1BBA46B1E0369ED6CD9695</vt:lpwstr>
  </property>
</Properties>
</file>