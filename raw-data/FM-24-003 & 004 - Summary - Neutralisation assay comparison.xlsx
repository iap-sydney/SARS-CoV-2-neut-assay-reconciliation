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elbcloud-my.sharepoint.com/personal/francesca_mordant_unimelb_edu_au/Documents/Documents/- SARS-CoV-2/"/>
    </mc:Choice>
  </mc:AlternateContent>
  <xr:revisionPtr revIDLastSave="915" documentId="8_{589B6FE7-BCE8-4393-9932-D5C57289C54A}" xr6:coauthVersionLast="47" xr6:coauthVersionMax="47" xr10:uidLastSave="{5B3C91DD-AE65-4FC5-B25B-2D177E01792A}"/>
  <bookViews>
    <workbookView xWindow="-120" yWindow="-120" windowWidth="38640" windowHeight="21240" activeTab="6" xr2:uid="{4B06510F-6608-45F6-8500-6AC72C6CE648}"/>
  </bookViews>
  <sheets>
    <sheet name="Summary" sheetId="1" r:id="rId1"/>
    <sheet name="CPE assay 1 raw data" sheetId="2" r:id="rId2"/>
    <sheet name="CPE assay 2 raw data" sheetId="5" r:id="rId3"/>
    <sheet name="ImmunoSpot assay 2 raw data" sheetId="3" r:id="rId4"/>
    <sheet name="ImmunoSpot assay 3 raw data" sheetId="6" r:id="rId5"/>
    <sheet name="Pseudoneut assay 1 raw data" sheetId="7" r:id="rId6"/>
    <sheet name="Pseudoneut assay 2 raw data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2" i="1" l="1"/>
  <c r="U33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4" i="1"/>
  <c r="R29" i="6" l="1"/>
  <c r="R37" i="6"/>
  <c r="R45" i="6"/>
  <c r="Q45" i="6"/>
  <c r="Q37" i="6"/>
  <c r="Q29" i="6"/>
  <c r="Q21" i="6"/>
  <c r="Q13" i="6"/>
  <c r="B47" i="6"/>
  <c r="B49" i="6" s="1"/>
  <c r="B45" i="6"/>
  <c r="P45" i="6" s="1"/>
  <c r="B37" i="6"/>
  <c r="P37" i="6" s="1"/>
  <c r="B31" i="6"/>
  <c r="B33" i="6" s="1"/>
  <c r="P29" i="6"/>
  <c r="B29" i="6"/>
  <c r="R21" i="6"/>
  <c r="B21" i="6"/>
  <c r="P21" i="6" s="1"/>
  <c r="R13" i="6"/>
  <c r="B13" i="6"/>
  <c r="B15" i="6" s="1"/>
  <c r="B51" i="6" l="1"/>
  <c r="P49" i="6"/>
  <c r="B35" i="6"/>
  <c r="P33" i="6"/>
  <c r="B17" i="6"/>
  <c r="P15" i="6"/>
  <c r="B23" i="6"/>
  <c r="B39" i="6"/>
  <c r="P13" i="6"/>
  <c r="P31" i="6"/>
  <c r="P47" i="6"/>
  <c r="B41" i="6" l="1"/>
  <c r="P39" i="6"/>
  <c r="B25" i="6"/>
  <c r="P23" i="6"/>
  <c r="B19" i="6"/>
  <c r="P17" i="6"/>
  <c r="P25" i="6" l="1"/>
  <c r="B27" i="6"/>
  <c r="B43" i="6"/>
  <c r="P41" i="6"/>
  <c r="B47" i="3" l="1"/>
  <c r="B49" i="3" s="1"/>
  <c r="R45" i="3"/>
  <c r="Q45" i="3"/>
  <c r="B45" i="3"/>
  <c r="P45" i="3" s="1"/>
  <c r="B39" i="3"/>
  <c r="B41" i="3" s="1"/>
  <c r="R37" i="3"/>
  <c r="Q37" i="3"/>
  <c r="B37" i="3"/>
  <c r="P37" i="3" s="1"/>
  <c r="R29" i="3"/>
  <c r="Q29" i="3"/>
  <c r="B29" i="3"/>
  <c r="B31" i="3" s="1"/>
  <c r="B23" i="3"/>
  <c r="B25" i="3" s="1"/>
  <c r="R21" i="3"/>
  <c r="Q21" i="3"/>
  <c r="P21" i="3"/>
  <c r="B21" i="3"/>
  <c r="R13" i="3"/>
  <c r="Q13" i="3"/>
  <c r="B13" i="3"/>
  <c r="B15" i="3" s="1"/>
  <c r="B33" i="3" l="1"/>
  <c r="P31" i="3"/>
  <c r="B27" i="3"/>
  <c r="P25" i="3"/>
  <c r="B17" i="3"/>
  <c r="P15" i="3"/>
  <c r="B43" i="3"/>
  <c r="P41" i="3"/>
  <c r="B51" i="3"/>
  <c r="P49" i="3"/>
  <c r="P23" i="3"/>
  <c r="P39" i="3"/>
  <c r="P13" i="3"/>
  <c r="P29" i="3"/>
  <c r="P47" i="3"/>
  <c r="B19" i="3" l="1"/>
  <c r="P17" i="3"/>
  <c r="B35" i="3"/>
  <c r="P33" i="3"/>
  <c r="Y32" i="5" l="1"/>
  <c r="W32" i="5"/>
  <c r="U32" i="5"/>
  <c r="V32" i="5" s="1"/>
  <c r="X32" i="5" s="1"/>
  <c r="Z32" i="5" s="1"/>
  <c r="AA32" i="5" s="1"/>
  <c r="S32" i="5"/>
  <c r="Y31" i="5"/>
  <c r="W31" i="5"/>
  <c r="U31" i="5"/>
  <c r="S31" i="5"/>
  <c r="V31" i="5" s="1"/>
  <c r="X31" i="5" s="1"/>
  <c r="Y30" i="5"/>
  <c r="W30" i="5"/>
  <c r="V30" i="5"/>
  <c r="X30" i="5" s="1"/>
  <c r="Z30" i="5" s="1"/>
  <c r="AA30" i="5" s="1"/>
  <c r="U30" i="5"/>
  <c r="S30" i="5"/>
  <c r="Y29" i="5"/>
  <c r="W29" i="5"/>
  <c r="U29" i="5"/>
  <c r="S29" i="5"/>
  <c r="Y28" i="5"/>
  <c r="W28" i="5"/>
  <c r="U28" i="5"/>
  <c r="V28" i="5" s="1"/>
  <c r="X28" i="5" s="1"/>
  <c r="Z28" i="5" s="1"/>
  <c r="AA28" i="5" s="1"/>
  <c r="S28" i="5"/>
  <c r="Y27" i="5"/>
  <c r="W27" i="5"/>
  <c r="U27" i="5"/>
  <c r="S27" i="5"/>
  <c r="Y26" i="5"/>
  <c r="W26" i="5"/>
  <c r="U26" i="5"/>
  <c r="S26" i="5"/>
  <c r="V26" i="5" s="1"/>
  <c r="X26" i="5" s="1"/>
  <c r="Z26" i="5" s="1"/>
  <c r="AA26" i="5" s="1"/>
  <c r="Y25" i="5"/>
  <c r="W25" i="5"/>
  <c r="U25" i="5"/>
  <c r="S25" i="5"/>
  <c r="Y24" i="5"/>
  <c r="W24" i="5"/>
  <c r="U24" i="5"/>
  <c r="S24" i="5"/>
  <c r="Y23" i="5"/>
  <c r="W23" i="5"/>
  <c r="U23" i="5"/>
  <c r="S23" i="5"/>
  <c r="Y22" i="5"/>
  <c r="W22" i="5"/>
  <c r="U22" i="5"/>
  <c r="S22" i="5"/>
  <c r="V22" i="5" s="1"/>
  <c r="X22" i="5" s="1"/>
  <c r="Z22" i="5" s="1"/>
  <c r="AA22" i="5" s="1"/>
  <c r="Y21" i="5"/>
  <c r="W21" i="5"/>
  <c r="U21" i="5"/>
  <c r="S21" i="5"/>
  <c r="Y20" i="5"/>
  <c r="W20" i="5"/>
  <c r="U20" i="5"/>
  <c r="S20" i="5"/>
  <c r="Y19" i="5"/>
  <c r="W19" i="5"/>
  <c r="U19" i="5"/>
  <c r="S19" i="5"/>
  <c r="Y18" i="5"/>
  <c r="W18" i="5"/>
  <c r="U18" i="5"/>
  <c r="S18" i="5"/>
  <c r="V18" i="5" s="1"/>
  <c r="X18" i="5" s="1"/>
  <c r="Z18" i="5" s="1"/>
  <c r="AA18" i="5" s="1"/>
  <c r="Y17" i="5"/>
  <c r="W17" i="5"/>
  <c r="U17" i="5"/>
  <c r="S17" i="5"/>
  <c r="Y16" i="5"/>
  <c r="W16" i="5"/>
  <c r="U16" i="5"/>
  <c r="V16" i="5" s="1"/>
  <c r="X16" i="5" s="1"/>
  <c r="Z16" i="5" s="1"/>
  <c r="AA16" i="5" s="1"/>
  <c r="S16" i="5"/>
  <c r="Y15" i="5"/>
  <c r="W15" i="5"/>
  <c r="U15" i="5"/>
  <c r="S15" i="5"/>
  <c r="Y14" i="5"/>
  <c r="W14" i="5"/>
  <c r="U14" i="5"/>
  <c r="V14" i="5" s="1"/>
  <c r="X14" i="5" s="1"/>
  <c r="Z14" i="5" s="1"/>
  <c r="AA14" i="5" s="1"/>
  <c r="S14" i="5"/>
  <c r="Y13" i="5"/>
  <c r="W13" i="5"/>
  <c r="U13" i="5"/>
  <c r="S13" i="5"/>
  <c r="Y12" i="5"/>
  <c r="W12" i="5"/>
  <c r="U12" i="5"/>
  <c r="S12" i="5"/>
  <c r="V12" i="5" s="1"/>
  <c r="X12" i="5" s="1"/>
  <c r="Z12" i="5" s="1"/>
  <c r="AA12" i="5" s="1"/>
  <c r="Y11" i="5"/>
  <c r="W11" i="5"/>
  <c r="U11" i="5"/>
  <c r="S11" i="5"/>
  <c r="V11" i="5" s="1"/>
  <c r="X11" i="5" s="1"/>
  <c r="Z11" i="5" s="1"/>
  <c r="AA11" i="5" s="1"/>
  <c r="Y10" i="5"/>
  <c r="W10" i="5"/>
  <c r="U10" i="5"/>
  <c r="V10" i="5" s="1"/>
  <c r="X10" i="5" s="1"/>
  <c r="S10" i="5"/>
  <c r="Y9" i="5"/>
  <c r="W9" i="5"/>
  <c r="U9" i="5"/>
  <c r="S9" i="5"/>
  <c r="V9" i="5" s="1"/>
  <c r="X9" i="5" s="1"/>
  <c r="Z9" i="5" s="1"/>
  <c r="AA9" i="5" s="1"/>
  <c r="Y8" i="5"/>
  <c r="W8" i="5"/>
  <c r="U8" i="5"/>
  <c r="S8" i="5"/>
  <c r="Y7" i="5"/>
  <c r="W7" i="5"/>
  <c r="U7" i="5"/>
  <c r="S7" i="5"/>
  <c r="Y6" i="5"/>
  <c r="W6" i="5"/>
  <c r="U6" i="5"/>
  <c r="V6" i="5" s="1"/>
  <c r="X6" i="5" s="1"/>
  <c r="Z6" i="5" s="1"/>
  <c r="AA6" i="5" s="1"/>
  <c r="S6" i="5"/>
  <c r="Y5" i="5"/>
  <c r="W5" i="5"/>
  <c r="U5" i="5"/>
  <c r="S5" i="5"/>
  <c r="V5" i="5" s="1"/>
  <c r="X5" i="5" s="1"/>
  <c r="Y4" i="5"/>
  <c r="W4" i="5"/>
  <c r="U4" i="5"/>
  <c r="S4" i="5"/>
  <c r="Y3" i="5"/>
  <c r="W3" i="5"/>
  <c r="U3" i="5"/>
  <c r="S3" i="5"/>
  <c r="Y32" i="2"/>
  <c r="W32" i="2"/>
  <c r="U32" i="2"/>
  <c r="V32" i="2" s="1"/>
  <c r="X32" i="2" s="1"/>
  <c r="Z32" i="2" s="1"/>
  <c r="AA32" i="2" s="1"/>
  <c r="Y31" i="2"/>
  <c r="W31" i="2"/>
  <c r="V31" i="2"/>
  <c r="X31" i="2" s="1"/>
  <c r="Z31" i="2" s="1"/>
  <c r="AA31" i="2" s="1"/>
  <c r="U31" i="2"/>
  <c r="Y30" i="2"/>
  <c r="W30" i="2"/>
  <c r="U30" i="2"/>
  <c r="V30" i="2" s="1"/>
  <c r="X30" i="2" s="1"/>
  <c r="Z30" i="2" s="1"/>
  <c r="AA30" i="2" s="1"/>
  <c r="Y29" i="2"/>
  <c r="W29" i="2"/>
  <c r="U29" i="2"/>
  <c r="V29" i="2" s="1"/>
  <c r="X29" i="2" s="1"/>
  <c r="Z29" i="2" s="1"/>
  <c r="AA29" i="2" s="1"/>
  <c r="Y28" i="2"/>
  <c r="W28" i="2"/>
  <c r="U28" i="2"/>
  <c r="V28" i="2" s="1"/>
  <c r="X28" i="2" s="1"/>
  <c r="Z28" i="2" s="1"/>
  <c r="AA28" i="2" s="1"/>
  <c r="Y27" i="2"/>
  <c r="W27" i="2"/>
  <c r="U27" i="2"/>
  <c r="V27" i="2" s="1"/>
  <c r="X27" i="2" s="1"/>
  <c r="Z27" i="2" s="1"/>
  <c r="AA27" i="2" s="1"/>
  <c r="Y26" i="2"/>
  <c r="W26" i="2"/>
  <c r="V26" i="2"/>
  <c r="X26" i="2" s="1"/>
  <c r="Z26" i="2" s="1"/>
  <c r="AA26" i="2" s="1"/>
  <c r="U26" i="2"/>
  <c r="Y25" i="2"/>
  <c r="W25" i="2"/>
  <c r="U25" i="2"/>
  <c r="V25" i="2" s="1"/>
  <c r="X25" i="2" s="1"/>
  <c r="Z25" i="2" s="1"/>
  <c r="AA25" i="2" s="1"/>
  <c r="Y24" i="2"/>
  <c r="W24" i="2"/>
  <c r="U24" i="2"/>
  <c r="V24" i="2" s="1"/>
  <c r="X24" i="2" s="1"/>
  <c r="Z24" i="2" s="1"/>
  <c r="AA24" i="2" s="1"/>
  <c r="Y23" i="2"/>
  <c r="W23" i="2"/>
  <c r="V23" i="2"/>
  <c r="X23" i="2" s="1"/>
  <c r="Z23" i="2" s="1"/>
  <c r="AA23" i="2" s="1"/>
  <c r="U23" i="2"/>
  <c r="Y22" i="2"/>
  <c r="W22" i="2"/>
  <c r="U22" i="2"/>
  <c r="V22" i="2" s="1"/>
  <c r="X22" i="2" s="1"/>
  <c r="Z22" i="2" s="1"/>
  <c r="AA22" i="2" s="1"/>
  <c r="Y21" i="2"/>
  <c r="W21" i="2"/>
  <c r="U21" i="2"/>
  <c r="V21" i="2" s="1"/>
  <c r="X21" i="2" s="1"/>
  <c r="Z21" i="2" s="1"/>
  <c r="AA21" i="2" s="1"/>
  <c r="Y20" i="2"/>
  <c r="W20" i="2"/>
  <c r="U20" i="2"/>
  <c r="V20" i="2" s="1"/>
  <c r="X20" i="2" s="1"/>
  <c r="Z20" i="2" s="1"/>
  <c r="AA20" i="2" s="1"/>
  <c r="Y19" i="2"/>
  <c r="W19" i="2"/>
  <c r="U19" i="2"/>
  <c r="V19" i="2" s="1"/>
  <c r="X19" i="2" s="1"/>
  <c r="Z19" i="2" s="1"/>
  <c r="AA19" i="2" s="1"/>
  <c r="Y18" i="2"/>
  <c r="W18" i="2"/>
  <c r="V18" i="2"/>
  <c r="X18" i="2" s="1"/>
  <c r="Z18" i="2" s="1"/>
  <c r="AA18" i="2" s="1"/>
  <c r="U18" i="2"/>
  <c r="Y17" i="2"/>
  <c r="W17" i="2"/>
  <c r="U17" i="2"/>
  <c r="V17" i="2" s="1"/>
  <c r="X17" i="2" s="1"/>
  <c r="Z17" i="2" s="1"/>
  <c r="AA17" i="2" s="1"/>
  <c r="Y16" i="2"/>
  <c r="W16" i="2"/>
  <c r="X16" i="2" s="1"/>
  <c r="Z16" i="2" s="1"/>
  <c r="AA16" i="2" s="1"/>
  <c r="V16" i="2"/>
  <c r="U16" i="2"/>
  <c r="Y15" i="2"/>
  <c r="W15" i="2"/>
  <c r="V15" i="2"/>
  <c r="X15" i="2" s="1"/>
  <c r="Z15" i="2" s="1"/>
  <c r="AA15" i="2" s="1"/>
  <c r="U15" i="2"/>
  <c r="Y14" i="2"/>
  <c r="W14" i="2"/>
  <c r="U14" i="2"/>
  <c r="V14" i="2" s="1"/>
  <c r="X14" i="2" s="1"/>
  <c r="Z14" i="2" s="1"/>
  <c r="AA14" i="2" s="1"/>
  <c r="Y13" i="2"/>
  <c r="W13" i="2"/>
  <c r="U13" i="2"/>
  <c r="V13" i="2" s="1"/>
  <c r="X13" i="2" s="1"/>
  <c r="Z13" i="2" s="1"/>
  <c r="AA13" i="2" s="1"/>
  <c r="Y12" i="2"/>
  <c r="W12" i="2"/>
  <c r="U12" i="2"/>
  <c r="V12" i="2" s="1"/>
  <c r="X12" i="2" s="1"/>
  <c r="Z12" i="2" s="1"/>
  <c r="AA12" i="2" s="1"/>
  <c r="Y11" i="2"/>
  <c r="W11" i="2"/>
  <c r="U11" i="2"/>
  <c r="V11" i="2" s="1"/>
  <c r="X11" i="2" s="1"/>
  <c r="Z11" i="2" s="1"/>
  <c r="AA11" i="2" s="1"/>
  <c r="Y10" i="2"/>
  <c r="W10" i="2"/>
  <c r="V10" i="2"/>
  <c r="X10" i="2" s="1"/>
  <c r="Z10" i="2" s="1"/>
  <c r="AA10" i="2" s="1"/>
  <c r="U10" i="2"/>
  <c r="Y9" i="2"/>
  <c r="W9" i="2"/>
  <c r="U9" i="2"/>
  <c r="V9" i="2" s="1"/>
  <c r="X9" i="2" s="1"/>
  <c r="Z9" i="2" s="1"/>
  <c r="AA9" i="2" s="1"/>
  <c r="Y8" i="2"/>
  <c r="W8" i="2"/>
  <c r="U8" i="2"/>
  <c r="V8" i="2" s="1"/>
  <c r="X8" i="2" s="1"/>
  <c r="Z8" i="2" s="1"/>
  <c r="AA8" i="2" s="1"/>
  <c r="Y7" i="2"/>
  <c r="W7" i="2"/>
  <c r="V7" i="2"/>
  <c r="X7" i="2" s="1"/>
  <c r="Z7" i="2" s="1"/>
  <c r="AA7" i="2" s="1"/>
  <c r="U7" i="2"/>
  <c r="Y6" i="2"/>
  <c r="W6" i="2"/>
  <c r="U6" i="2"/>
  <c r="V6" i="2" s="1"/>
  <c r="X6" i="2" s="1"/>
  <c r="Z6" i="2" s="1"/>
  <c r="AA6" i="2" s="1"/>
  <c r="Y5" i="2"/>
  <c r="W5" i="2"/>
  <c r="U5" i="2"/>
  <c r="V5" i="2" s="1"/>
  <c r="X5" i="2" s="1"/>
  <c r="Z5" i="2" s="1"/>
  <c r="AA5" i="2" s="1"/>
  <c r="Y4" i="2"/>
  <c r="W4" i="2"/>
  <c r="U4" i="2"/>
  <c r="V4" i="2" s="1"/>
  <c r="X4" i="2" s="1"/>
  <c r="Z4" i="2" s="1"/>
  <c r="AA4" i="2" s="1"/>
  <c r="Y3" i="2"/>
  <c r="W3" i="2"/>
  <c r="U3" i="2"/>
  <c r="V3" i="2" s="1"/>
  <c r="X3" i="2" s="1"/>
  <c r="Z3" i="2" s="1"/>
  <c r="AA3" i="2" s="1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V15" i="5" l="1"/>
  <c r="X15" i="5" s="1"/>
  <c r="Z15" i="5" s="1"/>
  <c r="AA15" i="5" s="1"/>
  <c r="V19" i="5"/>
  <c r="X19" i="5" s="1"/>
  <c r="V27" i="5"/>
  <c r="X27" i="5" s="1"/>
  <c r="Z27" i="5" s="1"/>
  <c r="AA27" i="5" s="1"/>
  <c r="V4" i="5"/>
  <c r="X4" i="5" s="1"/>
  <c r="Z4" i="5" s="1"/>
  <c r="AA4" i="5" s="1"/>
  <c r="V8" i="5"/>
  <c r="X8" i="5" s="1"/>
  <c r="Z8" i="5" s="1"/>
  <c r="AA8" i="5" s="1"/>
  <c r="V20" i="5"/>
  <c r="X20" i="5" s="1"/>
  <c r="Z20" i="5" s="1"/>
  <c r="AA20" i="5" s="1"/>
  <c r="V24" i="5"/>
  <c r="X24" i="5" s="1"/>
  <c r="Z24" i="5" s="1"/>
  <c r="AA24" i="5" s="1"/>
  <c r="V17" i="5"/>
  <c r="X17" i="5" s="1"/>
  <c r="V21" i="5"/>
  <c r="X21" i="5" s="1"/>
  <c r="Z21" i="5" s="1"/>
  <c r="AA21" i="5" s="1"/>
  <c r="V25" i="5"/>
  <c r="X25" i="5" s="1"/>
  <c r="Z25" i="5" s="1"/>
  <c r="AA25" i="5" s="1"/>
  <c r="V29" i="5"/>
  <c r="X29" i="5" s="1"/>
  <c r="Z29" i="5" s="1"/>
  <c r="AA29" i="5" s="1"/>
  <c r="Z19" i="5"/>
  <c r="AA19" i="5" s="1"/>
  <c r="Z5" i="5"/>
  <c r="AA5" i="5" s="1"/>
  <c r="V23" i="5"/>
  <c r="X23" i="5" s="1"/>
  <c r="Z23" i="5" s="1"/>
  <c r="AA23" i="5" s="1"/>
  <c r="V13" i="5"/>
  <c r="X13" i="5" s="1"/>
  <c r="Z13" i="5" s="1"/>
  <c r="AA13" i="5" s="1"/>
  <c r="Z17" i="5"/>
  <c r="AA17" i="5" s="1"/>
  <c r="Z31" i="5"/>
  <c r="AA31" i="5" s="1"/>
  <c r="V3" i="5"/>
  <c r="X3" i="5" s="1"/>
  <c r="Z3" i="5" s="1"/>
  <c r="AA3" i="5" s="1"/>
  <c r="Z10" i="5"/>
  <c r="AA10" i="5" s="1"/>
  <c r="V7" i="5"/>
  <c r="X7" i="5" s="1"/>
  <c r="Z7" i="5" s="1"/>
  <c r="AA7" i="5" s="1"/>
  <c r="U5" i="1" l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4" i="1"/>
</calcChain>
</file>

<file path=xl/sharedStrings.xml><?xml version="1.0" encoding="utf-8"?>
<sst xmlns="http://schemas.openxmlformats.org/spreadsheetml/2006/main" count="1664" uniqueCount="158">
  <si>
    <t>sample_num</t>
  </si>
  <si>
    <t>sample_name</t>
  </si>
  <si>
    <t>High 3</t>
  </si>
  <si>
    <t>1678-044_pv2</t>
  </si>
  <si>
    <t>1678-044_PB1</t>
  </si>
  <si>
    <t>1678-047_pv2</t>
  </si>
  <si>
    <t>1678-047_post_v3</t>
  </si>
  <si>
    <t>1678-061_pv2</t>
  </si>
  <si>
    <t>1678-061_post_v3</t>
  </si>
  <si>
    <t>1678-065_pv2</t>
  </si>
  <si>
    <t>1678-065_post_v3</t>
  </si>
  <si>
    <t>1678-069 (008)_pv2</t>
  </si>
  <si>
    <t>1678-069 (008)_M9</t>
  </si>
  <si>
    <t>1678-070 (043)_pv2</t>
  </si>
  <si>
    <t>1678-070 (043)_post_v3</t>
  </si>
  <si>
    <t>1678-074_pv2</t>
  </si>
  <si>
    <t>1678-074_post_v3</t>
  </si>
  <si>
    <t>1678-097_pv2</t>
  </si>
  <si>
    <t>1678-097_post_v3</t>
  </si>
  <si>
    <t>1678-044(101)_post_inf_visit</t>
  </si>
  <si>
    <t>1678-061(117)_post_inf_visit</t>
  </si>
  <si>
    <t>1678-066(122)_post_inf_visit</t>
  </si>
  <si>
    <t>1678-070(126)_post_inf_visit</t>
  </si>
  <si>
    <t>1678-078(037)_post_inf_visit</t>
  </si>
  <si>
    <t>1678-090(144)_post_inf_visit</t>
  </si>
  <si>
    <t>1678-091(145)_post_inf_visit</t>
  </si>
  <si>
    <t>1678-095(149)_post_inf_visit</t>
  </si>
  <si>
    <t>1678-099(153)_post_inf_visit</t>
  </si>
  <si>
    <t>1678-SM_post_inf_visit</t>
  </si>
  <si>
    <t>NIBSC 21/338</t>
  </si>
  <si>
    <t>NIBSC 20/142</t>
  </si>
  <si>
    <t>Neg 4</t>
  </si>
  <si>
    <t>starting_dilution</t>
  </si>
  <si>
    <t>EC50</t>
  </si>
  <si>
    <t>reportable_result</t>
  </si>
  <si>
    <t>Pass</t>
  </si>
  <si>
    <t>Decrease dilution</t>
  </si>
  <si>
    <t>Increase dilution</t>
  </si>
  <si>
    <t>Negative</t>
  </si>
  <si>
    <t>Pseudoneut</t>
  </si>
  <si>
    <t>CPE</t>
  </si>
  <si>
    <t>gmt</t>
  </si>
  <si>
    <t>Assay 1</t>
  </si>
  <si>
    <t>Assay 2</t>
  </si>
  <si>
    <t>Assay 3</t>
  </si>
  <si>
    <t>group</t>
  </si>
  <si>
    <t>Internal positive standard</t>
  </si>
  <si>
    <t>(A) Post-primary vax</t>
  </si>
  <si>
    <t>(B) Post-booster (3rd dose/monovalent)</t>
  </si>
  <si>
    <t>(D) Hybrid (vaccinated and breakthrough infection)</t>
  </si>
  <si>
    <t>Positive reference plasma</t>
  </si>
  <si>
    <t>Negative reference plasma</t>
  </si>
  <si>
    <t>Internal negative standard</t>
  </si>
  <si>
    <t>GMT</t>
  </si>
  <si>
    <t>*ImmunoSpot Assay 1 failed</t>
  </si>
  <si>
    <t>starting_dilution*</t>
  </si>
  <si>
    <t>*Adjusted starting dilutions for 2nd ImmunoSpot and Pseudoneut assays</t>
  </si>
  <si>
    <t>ImmunoSpot* (v3 counting parameters)</t>
  </si>
  <si>
    <t>Plate #</t>
  </si>
  <si>
    <t>Neut ID</t>
  </si>
  <si>
    <t>Sample</t>
  </si>
  <si>
    <t>Starting dilution</t>
  </si>
  <si>
    <t>Virus control</t>
  </si>
  <si>
    <t>Cell control</t>
  </si>
  <si>
    <t>P1</t>
  </si>
  <si>
    <t>----</t>
  </si>
  <si>
    <t>++++</t>
  </si>
  <si>
    <t>+---</t>
  </si>
  <si>
    <t>+--+</t>
  </si>
  <si>
    <t>P2</t>
  </si>
  <si>
    <t>-+--</t>
  </si>
  <si>
    <t>-++-</t>
  </si>
  <si>
    <t>P3</t>
  </si>
  <si>
    <t>P4</t>
  </si>
  <si>
    <t>--+-</t>
  </si>
  <si>
    <t>P5</t>
  </si>
  <si>
    <t>---+</t>
  </si>
  <si>
    <t>-+++</t>
  </si>
  <si>
    <t>P6</t>
  </si>
  <si>
    <t>-+-+</t>
  </si>
  <si>
    <t>++--</t>
  </si>
  <si>
    <t>P7</t>
  </si>
  <si>
    <t>+-++</t>
  </si>
  <si>
    <t>P8</t>
  </si>
  <si>
    <t>P9</t>
  </si>
  <si>
    <t>P10</t>
  </si>
  <si>
    <t>P11</t>
  </si>
  <si>
    <t>+-+-</t>
  </si>
  <si>
    <t>P12</t>
  </si>
  <si>
    <t>P13</t>
  </si>
  <si>
    <t>++-+</t>
  </si>
  <si>
    <t>+++-</t>
  </si>
  <si>
    <t>P14</t>
  </si>
  <si>
    <t>P15</t>
  </si>
  <si>
    <t>1:20</t>
  </si>
  <si>
    <t>"0"</t>
  </si>
  <si>
    <t>"1"</t>
  </si>
  <si>
    <t>1'</t>
  </si>
  <si>
    <t>"2"</t>
  </si>
  <si>
    <t>2'</t>
  </si>
  <si>
    <t>1'/2'</t>
  </si>
  <si>
    <t>"4"</t>
  </si>
  <si>
    <t>3'</t>
  </si>
  <si>
    <t>log10("0")</t>
  </si>
  <si>
    <t>3'+4'</t>
  </si>
  <si>
    <t>10^(3'+4')</t>
  </si>
  <si>
    <t>MN titre</t>
  </si>
  <si>
    <t>dil&lt;50%</t>
  </si>
  <si>
    <t>% +ve @dil&lt;50</t>
  </si>
  <si>
    <t>50-"1"</t>
  </si>
  <si>
    <t>% +ve @dil&gt;50</t>
  </si>
  <si>
    <t>"2"-"1"</t>
  </si>
  <si>
    <t>"3"</t>
  </si>
  <si>
    <t>log2</t>
  </si>
  <si>
    <t>"3"*"4"</t>
  </si>
  <si>
    <t>log dil&lt;50%</t>
  </si>
  <si>
    <t>&lt;20</t>
  </si>
  <si>
    <t>Plate layout</t>
  </si>
  <si>
    <t>A</t>
  </si>
  <si>
    <t>S1</t>
  </si>
  <si>
    <t>1:40</t>
  </si>
  <si>
    <t>1:80</t>
  </si>
  <si>
    <t>1:160</t>
  </si>
  <si>
    <t>1:320</t>
  </si>
  <si>
    <t>1:640</t>
  </si>
  <si>
    <t>S5</t>
  </si>
  <si>
    <t>B</t>
  </si>
  <si>
    <t>C</t>
  </si>
  <si>
    <t>S2</t>
  </si>
  <si>
    <t>S6</t>
  </si>
  <si>
    <t>D</t>
  </si>
  <si>
    <t>E</t>
  </si>
  <si>
    <t>S3</t>
  </si>
  <si>
    <t>S7</t>
  </si>
  <si>
    <t>F</t>
  </si>
  <si>
    <t>G</t>
  </si>
  <si>
    <t>S4</t>
  </si>
  <si>
    <t>Virus-only control (VOC)</t>
  </si>
  <si>
    <t>NVC</t>
  </si>
  <si>
    <t>H</t>
  </si>
  <si>
    <t>Sample #</t>
  </si>
  <si>
    <t>Row</t>
  </si>
  <si>
    <t>Mean VC</t>
  </si>
  <si>
    <t>Mean CC</t>
  </si>
  <si>
    <t>VC/CC</t>
  </si>
  <si>
    <t>Sample 1</t>
  </si>
  <si>
    <t>Sample 2</t>
  </si>
  <si>
    <t>Sample 3</t>
  </si>
  <si>
    <t>Sample 4</t>
  </si>
  <si>
    <t>Sample 5</t>
  </si>
  <si>
    <t>Sample 6</t>
  </si>
  <si>
    <t>1:1280</t>
  </si>
  <si>
    <t>CC/VC</t>
  </si>
  <si>
    <t>Sample name</t>
  </si>
  <si>
    <t>Column</t>
  </si>
  <si>
    <t xml:space="preserve">Paste transposed </t>
  </si>
  <si>
    <t>1:200</t>
  </si>
  <si>
    <t>1:1000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</si>
</sst>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color theme="9"/>
      <name val="Calibri"/>
      <family val="2"/>
    </font>
    <font>
      <sz val="11"/>
      <color theme="8"/>
      <name val="Calibri"/>
      <family val="2"/>
    </font>
    <font>
      <sz val="10"/>
      <name val="Verdana"/>
      <family val="2"/>
    </font>
    <font>
      <sz val="8"/>
      <name val="Arial"/>
      <family val="2"/>
    </font>
    <font>
      <sz val="11"/>
      <color theme="1"/>
      <name val="Verdana"/>
      <family val="2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rial"/>
      <family val="2"/>
    </font>
    <font>
      <sz val="12"/>
      <color rgb="FFA6A6A6"/>
      <name val="Calibri"/>
      <family val="2"/>
    </font>
    <font>
      <sz val="14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AEAF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6" fillId="0" borderId="0"/>
    <xf numFmtId="0" fontId="9" fillId="0" borderId="0"/>
  </cellStyleXfs>
  <cellXfs count="212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" fontId="2" fillId="0" borderId="14" xfId="0" applyNumberFormat="1" applyFont="1" applyBorder="1" applyAlignment="1">
      <alignment horizontal="center" vertical="center"/>
    </xf>
    <xf numFmtId="1" fontId="1" fillId="0" borderId="16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0" fillId="0" borderId="0" xfId="2" applyFont="1"/>
    <xf numFmtId="0" fontId="11" fillId="0" borderId="0" xfId="2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3" fillId="0" borderId="0" xfId="2" applyFont="1" applyAlignment="1">
      <alignment horizontal="center" vertical="center" textRotation="90"/>
    </xf>
    <xf numFmtId="0" fontId="12" fillId="0" borderId="0" xfId="2" applyFont="1" applyAlignment="1">
      <alignment horizontal="center" vertical="center" wrapText="1" readingOrder="1"/>
    </xf>
    <xf numFmtId="0" fontId="13" fillId="0" borderId="0" xfId="2" applyFont="1" applyAlignment="1">
      <alignment horizontal="center" vertical="center" textRotation="90"/>
    </xf>
    <xf numFmtId="0" fontId="14" fillId="0" borderId="0" xfId="2" applyFont="1" applyAlignment="1">
      <alignment horizontal="center" vertical="center" wrapText="1" readingOrder="1"/>
    </xf>
    <xf numFmtId="20" fontId="14" fillId="0" borderId="0" xfId="2" applyNumberFormat="1" applyFont="1" applyAlignment="1">
      <alignment horizontal="center" vertical="center" wrapText="1" readingOrder="1"/>
    </xf>
    <xf numFmtId="0" fontId="15" fillId="0" borderId="1" xfId="0" quotePrefix="1" applyFont="1" applyBorder="1" applyAlignment="1">
      <alignment horizontal="center" vertical="center"/>
    </xf>
    <xf numFmtId="0" fontId="15" fillId="0" borderId="0" xfId="0" quotePrefix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1" xfId="2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1" fillId="0" borderId="0" xfId="2" applyFont="1" applyBorder="1" applyAlignment="1">
      <alignment horizontal="center" vertical="center" wrapText="1"/>
    </xf>
    <xf numFmtId="0" fontId="15" fillId="3" borderId="0" xfId="2" applyFont="1" applyFill="1" applyAlignment="1">
      <alignment horizontal="center"/>
    </xf>
    <xf numFmtId="0" fontId="12" fillId="3" borderId="0" xfId="2" applyFont="1" applyFill="1" applyAlignment="1">
      <alignment horizontal="center" vertical="center" wrapText="1" readingOrder="1"/>
    </xf>
    <xf numFmtId="0" fontId="0" fillId="0" borderId="0" xfId="0" quotePrefix="1" applyAlignment="1">
      <alignment horizontal="right"/>
    </xf>
    <xf numFmtId="0" fontId="14" fillId="0" borderId="0" xfId="2" applyFont="1" applyAlignment="1">
      <alignment horizontal="right" vertical="center" wrapText="1" readingOrder="1"/>
    </xf>
    <xf numFmtId="0" fontId="1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4" borderId="31" xfId="0" applyFill="1" applyBorder="1" applyAlignment="1">
      <alignment horizontal="center" vertical="center"/>
    </xf>
    <xf numFmtId="0" fontId="15" fillId="11" borderId="0" xfId="2" applyFont="1" applyFill="1" applyAlignment="1">
      <alignment horizontal="center"/>
    </xf>
    <xf numFmtId="0" fontId="12" fillId="11" borderId="0" xfId="2" applyFont="1" applyFill="1" applyAlignment="1">
      <alignment horizontal="center" vertical="center" wrapText="1" readingOrder="1"/>
    </xf>
    <xf numFmtId="20" fontId="14" fillId="3" borderId="24" xfId="2" applyNumberFormat="1" applyFont="1" applyFill="1" applyBorder="1" applyAlignment="1">
      <alignment horizontal="center" vertical="center" wrapText="1" readingOrder="1"/>
    </xf>
    <xf numFmtId="20" fontId="14" fillId="3" borderId="26" xfId="2" applyNumberFormat="1" applyFont="1" applyFill="1" applyBorder="1" applyAlignment="1">
      <alignment horizontal="center" vertical="center" wrapText="1" readingOrder="1"/>
    </xf>
    <xf numFmtId="20" fontId="14" fillId="3" borderId="27" xfId="2" applyNumberFormat="1" applyFont="1" applyFill="1" applyBorder="1" applyAlignment="1">
      <alignment horizontal="center" vertical="center" wrapText="1" readingOrder="1"/>
    </xf>
    <xf numFmtId="20" fontId="14" fillId="3" borderId="28" xfId="2" applyNumberFormat="1" applyFont="1" applyFill="1" applyBorder="1" applyAlignment="1">
      <alignment horizontal="center" vertical="center" wrapText="1" readingOrder="1"/>
    </xf>
    <xf numFmtId="20" fontId="14" fillId="3" borderId="29" xfId="2" applyNumberFormat="1" applyFont="1" applyFill="1" applyBorder="1" applyAlignment="1">
      <alignment horizontal="center" vertical="center" wrapText="1" readingOrder="1"/>
    </xf>
    <xf numFmtId="20" fontId="14" fillId="3" borderId="31" xfId="2" applyNumberFormat="1" applyFont="1" applyFill="1" applyBorder="1" applyAlignment="1">
      <alignment horizontal="center" vertical="center" wrapText="1" readingOrder="1"/>
    </xf>
    <xf numFmtId="20" fontId="14" fillId="11" borderId="24" xfId="2" applyNumberFormat="1" applyFont="1" applyFill="1" applyBorder="1" applyAlignment="1">
      <alignment horizontal="center" vertical="center" wrapText="1" readingOrder="1"/>
    </xf>
    <xf numFmtId="20" fontId="14" fillId="11" borderId="26" xfId="2" applyNumberFormat="1" applyFont="1" applyFill="1" applyBorder="1" applyAlignment="1">
      <alignment horizontal="center" vertical="center" wrapText="1" readingOrder="1"/>
    </xf>
    <xf numFmtId="20" fontId="14" fillId="11" borderId="27" xfId="2" applyNumberFormat="1" applyFont="1" applyFill="1" applyBorder="1" applyAlignment="1">
      <alignment horizontal="center" vertical="center" wrapText="1" readingOrder="1"/>
    </xf>
    <xf numFmtId="20" fontId="14" fillId="11" borderId="28" xfId="2" applyNumberFormat="1" applyFont="1" applyFill="1" applyBorder="1" applyAlignment="1">
      <alignment horizontal="center" vertical="center" wrapText="1" readingOrder="1"/>
    </xf>
    <xf numFmtId="20" fontId="14" fillId="11" borderId="29" xfId="2" applyNumberFormat="1" applyFont="1" applyFill="1" applyBorder="1" applyAlignment="1">
      <alignment horizontal="center" vertical="center" wrapText="1" readingOrder="1"/>
    </xf>
    <xf numFmtId="20" fontId="14" fillId="11" borderId="31" xfId="2" applyNumberFormat="1" applyFont="1" applyFill="1" applyBorder="1" applyAlignment="1">
      <alignment horizontal="center" vertical="center" wrapText="1" readingOrder="1"/>
    </xf>
    <xf numFmtId="0" fontId="14" fillId="10" borderId="0" xfId="2" applyFont="1" applyFill="1" applyBorder="1" applyAlignment="1">
      <alignment horizontal="center" vertical="center" wrapText="1" readingOrder="1"/>
    </xf>
    <xf numFmtId="0" fontId="14" fillId="12" borderId="0" xfId="2" applyFont="1" applyFill="1" applyBorder="1" applyAlignment="1">
      <alignment horizontal="center" vertical="center" wrapText="1" readingOrder="1"/>
    </xf>
    <xf numFmtId="20" fontId="14" fillId="10" borderId="32" xfId="2" applyNumberFormat="1" applyFont="1" applyFill="1" applyBorder="1" applyAlignment="1">
      <alignment vertical="center" wrapText="1" readingOrder="1"/>
    </xf>
    <xf numFmtId="20" fontId="14" fillId="10" borderId="33" xfId="2" applyNumberFormat="1" applyFont="1" applyFill="1" applyBorder="1" applyAlignment="1">
      <alignment vertical="center" wrapText="1" readingOrder="1"/>
    </xf>
    <xf numFmtId="20" fontId="14" fillId="10" borderId="34" xfId="2" applyNumberFormat="1" applyFont="1" applyFill="1" applyBorder="1" applyAlignment="1">
      <alignment vertical="center" wrapText="1" readingOrder="1"/>
    </xf>
    <xf numFmtId="0" fontId="14" fillId="12" borderId="32" xfId="2" applyFont="1" applyFill="1" applyBorder="1" applyAlignment="1">
      <alignment vertical="center" wrapText="1" readingOrder="1"/>
    </xf>
    <xf numFmtId="0" fontId="14" fillId="12" borderId="33" xfId="2" applyFont="1" applyFill="1" applyBorder="1" applyAlignment="1">
      <alignment vertical="center" wrapText="1" readingOrder="1"/>
    </xf>
    <xf numFmtId="0" fontId="14" fillId="12" borderId="34" xfId="2" applyFont="1" applyFill="1" applyBorder="1" applyAlignment="1">
      <alignment vertical="center" wrapText="1" readingOrder="1"/>
    </xf>
    <xf numFmtId="0" fontId="15" fillId="13" borderId="0" xfId="2" applyFont="1" applyFill="1" applyAlignment="1">
      <alignment horizontal="center"/>
    </xf>
    <xf numFmtId="0" fontId="12" fillId="13" borderId="0" xfId="2" applyFont="1" applyFill="1" applyAlignment="1">
      <alignment horizontal="center" vertical="center" wrapText="1" readingOrder="1"/>
    </xf>
    <xf numFmtId="20" fontId="14" fillId="13" borderId="24" xfId="2" applyNumberFormat="1" applyFont="1" applyFill="1" applyBorder="1" applyAlignment="1">
      <alignment horizontal="center" vertical="center" wrapText="1" readingOrder="1"/>
    </xf>
    <xf numFmtId="20" fontId="14" fillId="13" borderId="26" xfId="2" applyNumberFormat="1" applyFont="1" applyFill="1" applyBorder="1" applyAlignment="1">
      <alignment horizontal="center" vertical="center" wrapText="1" readingOrder="1"/>
    </xf>
    <xf numFmtId="20" fontId="14" fillId="13" borderId="27" xfId="2" applyNumberFormat="1" applyFont="1" applyFill="1" applyBorder="1" applyAlignment="1">
      <alignment horizontal="center" vertical="center" wrapText="1" readingOrder="1"/>
    </xf>
    <xf numFmtId="20" fontId="14" fillId="13" borderId="28" xfId="2" applyNumberFormat="1" applyFont="1" applyFill="1" applyBorder="1" applyAlignment="1">
      <alignment horizontal="center" vertical="center" wrapText="1" readingOrder="1"/>
    </xf>
    <xf numFmtId="20" fontId="14" fillId="13" borderId="29" xfId="2" applyNumberFormat="1" applyFont="1" applyFill="1" applyBorder="1" applyAlignment="1">
      <alignment horizontal="center" vertical="center" wrapText="1" readingOrder="1"/>
    </xf>
    <xf numFmtId="20" fontId="14" fillId="13" borderId="31" xfId="2" applyNumberFormat="1" applyFont="1" applyFill="1" applyBorder="1" applyAlignment="1">
      <alignment horizontal="center" vertical="center" wrapText="1" readingOrder="1"/>
    </xf>
    <xf numFmtId="0" fontId="0" fillId="0" borderId="0" xfId="0" applyFill="1" applyBorder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1" fontId="1" fillId="0" borderId="14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4" fillId="13" borderId="24" xfId="2" applyNumberFormat="1" applyFont="1" applyFill="1" applyBorder="1" applyAlignment="1">
      <alignment horizontal="center" vertical="center" wrapText="1" readingOrder="1"/>
    </xf>
    <xf numFmtId="0" fontId="14" fillId="13" borderId="25" xfId="2" applyNumberFormat="1" applyFont="1" applyFill="1" applyBorder="1" applyAlignment="1">
      <alignment horizontal="center" vertical="center" wrapText="1" readingOrder="1"/>
    </xf>
    <xf numFmtId="0" fontId="14" fillId="13" borderId="26" xfId="2" applyNumberFormat="1" applyFont="1" applyFill="1" applyBorder="1" applyAlignment="1">
      <alignment horizontal="center" vertical="center" wrapText="1" readingOrder="1"/>
    </xf>
    <xf numFmtId="0" fontId="14" fillId="10" borderId="35" xfId="2" applyNumberFormat="1" applyFont="1" applyFill="1" applyBorder="1" applyAlignment="1">
      <alignment vertical="center" wrapText="1" readingOrder="1"/>
    </xf>
    <xf numFmtId="0" fontId="14" fillId="13" borderId="29" xfId="2" applyNumberFormat="1" applyFont="1" applyFill="1" applyBorder="1" applyAlignment="1">
      <alignment horizontal="center" vertical="center" wrapText="1" readingOrder="1"/>
    </xf>
    <xf numFmtId="0" fontId="14" fillId="13" borderId="30" xfId="2" applyNumberFormat="1" applyFont="1" applyFill="1" applyBorder="1" applyAlignment="1">
      <alignment horizontal="center" vertical="center" wrapText="1" readingOrder="1"/>
    </xf>
    <xf numFmtId="0" fontId="14" fillId="13" borderId="31" xfId="2" applyNumberFormat="1" applyFont="1" applyFill="1" applyBorder="1" applyAlignment="1">
      <alignment horizontal="center" vertical="center" wrapText="1" readingOrder="1"/>
    </xf>
    <xf numFmtId="0" fontId="14" fillId="10" borderId="36" xfId="2" applyNumberFormat="1" applyFont="1" applyFill="1" applyBorder="1" applyAlignment="1">
      <alignment vertical="center" wrapText="1" readingOrder="1"/>
    </xf>
    <xf numFmtId="0" fontId="14" fillId="3" borderId="24" xfId="2" applyNumberFormat="1" applyFont="1" applyFill="1" applyBorder="1" applyAlignment="1">
      <alignment horizontal="center" vertical="center" wrapText="1" readingOrder="1"/>
    </xf>
    <xf numFmtId="0" fontId="14" fillId="3" borderId="25" xfId="2" applyNumberFormat="1" applyFont="1" applyFill="1" applyBorder="1" applyAlignment="1">
      <alignment horizontal="center" vertical="center" wrapText="1" readingOrder="1"/>
    </xf>
    <xf numFmtId="0" fontId="14" fillId="3" borderId="26" xfId="2" applyNumberFormat="1" applyFont="1" applyFill="1" applyBorder="1" applyAlignment="1">
      <alignment horizontal="center" vertical="center" wrapText="1" readingOrder="1"/>
    </xf>
    <xf numFmtId="0" fontId="14" fillId="3" borderId="29" xfId="2" applyNumberFormat="1" applyFont="1" applyFill="1" applyBorder="1" applyAlignment="1">
      <alignment horizontal="center" vertical="center" wrapText="1" readingOrder="1"/>
    </xf>
    <xf numFmtId="0" fontId="14" fillId="3" borderId="30" xfId="2" applyNumberFormat="1" applyFont="1" applyFill="1" applyBorder="1" applyAlignment="1">
      <alignment horizontal="center" vertical="center" wrapText="1" readingOrder="1"/>
    </xf>
    <xf numFmtId="0" fontId="14" fillId="3" borderId="31" xfId="2" applyNumberFormat="1" applyFont="1" applyFill="1" applyBorder="1" applyAlignment="1">
      <alignment horizontal="center" vertical="center" wrapText="1" readingOrder="1"/>
    </xf>
    <xf numFmtId="0" fontId="14" fillId="11" borderId="24" xfId="2" applyNumberFormat="1" applyFont="1" applyFill="1" applyBorder="1" applyAlignment="1">
      <alignment horizontal="center" vertical="center" wrapText="1" readingOrder="1"/>
    </xf>
    <xf numFmtId="0" fontId="14" fillId="11" borderId="25" xfId="2" applyNumberFormat="1" applyFont="1" applyFill="1" applyBorder="1" applyAlignment="1">
      <alignment horizontal="center" vertical="center" wrapText="1" readingOrder="1"/>
    </xf>
    <xf numFmtId="0" fontId="14" fillId="11" borderId="26" xfId="2" applyNumberFormat="1" applyFont="1" applyFill="1" applyBorder="1" applyAlignment="1">
      <alignment horizontal="center" vertical="center" wrapText="1" readingOrder="1"/>
    </xf>
    <xf numFmtId="0" fontId="14" fillId="11" borderId="29" xfId="2" applyNumberFormat="1" applyFont="1" applyFill="1" applyBorder="1" applyAlignment="1">
      <alignment horizontal="center" vertical="center" wrapText="1" readingOrder="1"/>
    </xf>
    <xf numFmtId="0" fontId="14" fillId="11" borderId="30" xfId="2" applyNumberFormat="1" applyFont="1" applyFill="1" applyBorder="1" applyAlignment="1">
      <alignment horizontal="center" vertical="center" wrapText="1" readingOrder="1"/>
    </xf>
    <xf numFmtId="0" fontId="14" fillId="11" borderId="31" xfId="2" applyNumberFormat="1" applyFont="1" applyFill="1" applyBorder="1" applyAlignment="1">
      <alignment horizontal="center" vertical="center" wrapText="1" readingOrder="1"/>
    </xf>
    <xf numFmtId="0" fontId="14" fillId="10" borderId="37" xfId="2" applyNumberFormat="1" applyFont="1" applyFill="1" applyBorder="1" applyAlignment="1">
      <alignment vertical="center" wrapText="1" readingOrder="1"/>
    </xf>
    <xf numFmtId="0" fontId="14" fillId="12" borderId="35" xfId="2" applyNumberFormat="1" applyFont="1" applyFill="1" applyBorder="1" applyAlignment="1">
      <alignment vertical="center" wrapText="1" readingOrder="1"/>
    </xf>
    <xf numFmtId="0" fontId="14" fillId="12" borderId="36" xfId="2" applyNumberFormat="1" applyFont="1" applyFill="1" applyBorder="1" applyAlignment="1">
      <alignment vertical="center" wrapText="1" readingOrder="1"/>
    </xf>
    <xf numFmtId="0" fontId="14" fillId="12" borderId="37" xfId="2" applyNumberFormat="1" applyFont="1" applyFill="1" applyBorder="1" applyAlignment="1">
      <alignment vertical="center" wrapText="1" readingOrder="1"/>
    </xf>
    <xf numFmtId="0" fontId="0" fillId="0" borderId="0" xfId="0" applyBorder="1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1" xfId="0" quotePrefix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4" fillId="7" borderId="0" xfId="2" applyFont="1" applyFill="1" applyBorder="1" applyAlignment="1">
      <alignment horizontal="center" vertical="center" wrapText="1" readingOrder="1"/>
    </xf>
    <xf numFmtId="0" fontId="14" fillId="8" borderId="0" xfId="2" applyFont="1" applyFill="1" applyBorder="1" applyAlignment="1">
      <alignment horizontal="center" vertical="center" wrapText="1" readingOrder="1"/>
    </xf>
    <xf numFmtId="0" fontId="14" fillId="9" borderId="0" xfId="2" applyFont="1" applyFill="1" applyBorder="1" applyAlignment="1">
      <alignment horizontal="center" vertical="center" wrapText="1" readingOrder="1"/>
    </xf>
    <xf numFmtId="0" fontId="12" fillId="0" borderId="0" xfId="2" applyFont="1" applyBorder="1" applyAlignment="1">
      <alignment horizontal="center" vertical="center" wrapText="1" readingOrder="1"/>
    </xf>
    <xf numFmtId="20" fontId="14" fillId="7" borderId="24" xfId="2" applyNumberFormat="1" applyFont="1" applyFill="1" applyBorder="1" applyAlignment="1">
      <alignment horizontal="center" vertical="center" wrapText="1" readingOrder="1"/>
    </xf>
    <xf numFmtId="20" fontId="14" fillId="7" borderId="25" xfId="2" applyNumberFormat="1" applyFont="1" applyFill="1" applyBorder="1" applyAlignment="1">
      <alignment horizontal="center" vertical="center" wrapText="1" readingOrder="1"/>
    </xf>
    <xf numFmtId="0" fontId="14" fillId="7" borderId="25" xfId="2" applyFont="1" applyFill="1" applyBorder="1" applyAlignment="1">
      <alignment horizontal="center" vertical="center" wrapText="1" readingOrder="1"/>
    </xf>
    <xf numFmtId="0" fontId="14" fillId="7" borderId="26" xfId="2" applyFont="1" applyFill="1" applyBorder="1" applyAlignment="1">
      <alignment horizontal="center" vertical="center" wrapText="1" readingOrder="1"/>
    </xf>
    <xf numFmtId="20" fontId="14" fillId="7" borderId="29" xfId="2" applyNumberFormat="1" applyFont="1" applyFill="1" applyBorder="1" applyAlignment="1">
      <alignment horizontal="center" vertical="center" wrapText="1" readingOrder="1"/>
    </xf>
    <xf numFmtId="20" fontId="14" fillId="7" borderId="30" xfId="2" applyNumberFormat="1" applyFont="1" applyFill="1" applyBorder="1" applyAlignment="1">
      <alignment horizontal="center" vertical="center" wrapText="1" readingOrder="1"/>
    </xf>
    <xf numFmtId="0" fontId="14" fillId="7" borderId="30" xfId="2" applyFont="1" applyFill="1" applyBorder="1" applyAlignment="1">
      <alignment horizontal="center" vertical="center" wrapText="1" readingOrder="1"/>
    </xf>
    <xf numFmtId="0" fontId="14" fillId="7" borderId="31" xfId="2" applyFont="1" applyFill="1" applyBorder="1" applyAlignment="1">
      <alignment horizontal="center" vertical="center" wrapText="1" readingOrder="1"/>
    </xf>
    <xf numFmtId="20" fontId="14" fillId="8" borderId="24" xfId="2" applyNumberFormat="1" applyFont="1" applyFill="1" applyBorder="1" applyAlignment="1">
      <alignment horizontal="center" vertical="center" wrapText="1" readingOrder="1"/>
    </xf>
    <xf numFmtId="20" fontId="14" fillId="8" borderId="25" xfId="2" applyNumberFormat="1" applyFont="1" applyFill="1" applyBorder="1" applyAlignment="1">
      <alignment horizontal="center" vertical="center" wrapText="1" readingOrder="1"/>
    </xf>
    <xf numFmtId="0" fontId="14" fillId="8" borderId="25" xfId="2" applyFont="1" applyFill="1" applyBorder="1" applyAlignment="1">
      <alignment horizontal="center" vertical="center" wrapText="1" readingOrder="1"/>
    </xf>
    <xf numFmtId="0" fontId="14" fillId="8" borderId="26" xfId="2" applyFont="1" applyFill="1" applyBorder="1" applyAlignment="1">
      <alignment horizontal="center" vertical="center" wrapText="1" readingOrder="1"/>
    </xf>
    <xf numFmtId="20" fontId="14" fillId="8" borderId="29" xfId="2" applyNumberFormat="1" applyFont="1" applyFill="1" applyBorder="1" applyAlignment="1">
      <alignment horizontal="center" vertical="center" wrapText="1" readingOrder="1"/>
    </xf>
    <xf numFmtId="20" fontId="14" fillId="8" borderId="30" xfId="2" applyNumberFormat="1" applyFont="1" applyFill="1" applyBorder="1" applyAlignment="1">
      <alignment horizontal="center" vertical="center" wrapText="1" readingOrder="1"/>
    </xf>
    <xf numFmtId="0" fontId="14" fillId="8" borderId="30" xfId="2" applyFont="1" applyFill="1" applyBorder="1" applyAlignment="1">
      <alignment horizontal="center" vertical="center" wrapText="1" readingOrder="1"/>
    </xf>
    <xf numFmtId="0" fontId="14" fillId="8" borderId="31" xfId="2" applyFont="1" applyFill="1" applyBorder="1" applyAlignment="1">
      <alignment horizontal="center" vertical="center" wrapText="1" readingOrder="1"/>
    </xf>
    <xf numFmtId="20" fontId="14" fillId="9" borderId="24" xfId="2" applyNumberFormat="1" applyFont="1" applyFill="1" applyBorder="1" applyAlignment="1">
      <alignment horizontal="center" vertical="center" wrapText="1" readingOrder="1"/>
    </xf>
    <xf numFmtId="20" fontId="14" fillId="9" borderId="25" xfId="2" applyNumberFormat="1" applyFont="1" applyFill="1" applyBorder="1" applyAlignment="1">
      <alignment horizontal="center" vertical="center" wrapText="1" readingOrder="1"/>
    </xf>
    <xf numFmtId="0" fontId="14" fillId="9" borderId="25" xfId="2" applyFont="1" applyFill="1" applyBorder="1" applyAlignment="1">
      <alignment horizontal="center" vertical="center" wrapText="1" readingOrder="1"/>
    </xf>
    <xf numFmtId="0" fontId="14" fillId="9" borderId="26" xfId="2" applyFont="1" applyFill="1" applyBorder="1" applyAlignment="1">
      <alignment horizontal="center" vertical="center" wrapText="1" readingOrder="1"/>
    </xf>
    <xf numFmtId="20" fontId="14" fillId="9" borderId="29" xfId="2" applyNumberFormat="1" applyFont="1" applyFill="1" applyBorder="1" applyAlignment="1">
      <alignment horizontal="center" vertical="center" wrapText="1" readingOrder="1"/>
    </xf>
    <xf numFmtId="20" fontId="14" fillId="9" borderId="30" xfId="2" applyNumberFormat="1" applyFont="1" applyFill="1" applyBorder="1" applyAlignment="1">
      <alignment horizontal="center" vertical="center" wrapText="1" readingOrder="1"/>
    </xf>
    <xf numFmtId="0" fontId="14" fillId="9" borderId="30" xfId="2" applyFont="1" applyFill="1" applyBorder="1" applyAlignment="1">
      <alignment horizontal="center" vertical="center" wrapText="1" readingOrder="1"/>
    </xf>
    <xf numFmtId="0" fontId="14" fillId="9" borderId="31" xfId="2" applyFont="1" applyFill="1" applyBorder="1" applyAlignment="1">
      <alignment horizontal="center" vertical="center" wrapText="1" readingOrder="1"/>
    </xf>
    <xf numFmtId="0" fontId="14" fillId="5" borderId="24" xfId="2" applyFont="1" applyFill="1" applyBorder="1" applyAlignment="1">
      <alignment horizontal="center" vertical="center" wrapText="1" readingOrder="1"/>
    </xf>
    <xf numFmtId="0" fontId="14" fillId="5" borderId="25" xfId="2" applyFont="1" applyFill="1" applyBorder="1" applyAlignment="1">
      <alignment horizontal="center" vertical="center" wrapText="1" readingOrder="1"/>
    </xf>
    <xf numFmtId="0" fontId="14" fillId="5" borderId="26" xfId="2" applyFont="1" applyFill="1" applyBorder="1" applyAlignment="1">
      <alignment horizontal="center" vertical="center" wrapText="1" readingOrder="1"/>
    </xf>
    <xf numFmtId="0" fontId="14" fillId="5" borderId="29" xfId="2" applyFont="1" applyFill="1" applyBorder="1" applyAlignment="1">
      <alignment horizontal="center" vertical="center" wrapText="1" readingOrder="1"/>
    </xf>
    <xf numFmtId="0" fontId="14" fillId="5" borderId="30" xfId="2" applyFont="1" applyFill="1" applyBorder="1" applyAlignment="1">
      <alignment horizontal="center" vertical="center" wrapText="1" readingOrder="1"/>
    </xf>
    <xf numFmtId="0" fontId="14" fillId="5" borderId="31" xfId="2" applyFont="1" applyFill="1" applyBorder="1" applyAlignment="1">
      <alignment horizontal="center" vertical="center" wrapText="1" readingOrder="1"/>
    </xf>
    <xf numFmtId="0" fontId="14" fillId="6" borderId="35" xfId="2" applyFont="1" applyFill="1" applyBorder="1" applyAlignment="1">
      <alignment horizontal="center" vertical="center" wrapText="1" readingOrder="1"/>
    </xf>
    <xf numFmtId="0" fontId="14" fillId="6" borderId="37" xfId="2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 wrapText="1"/>
    </xf>
    <xf numFmtId="0" fontId="0" fillId="4" borderId="24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0" fillId="14" borderId="24" xfId="0" applyFill="1" applyBorder="1" applyAlignment="1">
      <alignment horizontal="center" vertical="center"/>
    </xf>
    <xf numFmtId="0" fontId="0" fillId="14" borderId="25" xfId="0" applyFill="1" applyBorder="1" applyAlignment="1">
      <alignment horizontal="center" vertical="center"/>
    </xf>
    <xf numFmtId="0" fontId="0" fillId="14" borderId="26" xfId="0" applyFill="1" applyBorder="1" applyAlignment="1">
      <alignment horizontal="center" vertical="center"/>
    </xf>
    <xf numFmtId="0" fontId="0" fillId="14" borderId="29" xfId="0" applyFill="1" applyBorder="1" applyAlignment="1">
      <alignment horizontal="center" vertical="center"/>
    </xf>
    <xf numFmtId="0" fontId="0" fillId="14" borderId="30" xfId="0" applyFill="1" applyBorder="1" applyAlignment="1">
      <alignment horizontal="center" vertical="center"/>
    </xf>
    <xf numFmtId="0" fontId="0" fillId="14" borderId="31" xfId="0" applyFill="1" applyBorder="1" applyAlignment="1">
      <alignment horizontal="center" vertical="center"/>
    </xf>
    <xf numFmtId="0" fontId="0" fillId="15" borderId="24" xfId="0" applyFill="1" applyBorder="1" applyAlignment="1">
      <alignment horizontal="center" vertical="center"/>
    </xf>
    <xf numFmtId="0" fontId="0" fillId="15" borderId="25" xfId="0" applyFill="1" applyBorder="1" applyAlignment="1">
      <alignment horizontal="center" vertical="center"/>
    </xf>
    <xf numFmtId="0" fontId="0" fillId="15" borderId="26" xfId="0" applyFill="1" applyBorder="1" applyAlignment="1">
      <alignment horizontal="center" vertical="center"/>
    </xf>
    <xf numFmtId="0" fontId="0" fillId="15" borderId="29" xfId="0" applyFill="1" applyBorder="1" applyAlignment="1">
      <alignment horizontal="center" vertical="center"/>
    </xf>
    <xf numFmtId="0" fontId="0" fillId="15" borderId="30" xfId="0" applyFill="1" applyBorder="1" applyAlignment="1">
      <alignment horizontal="center" vertical="center"/>
    </xf>
    <xf numFmtId="0" fontId="0" fillId="15" borderId="31" xfId="0" applyFill="1" applyBorder="1" applyAlignment="1">
      <alignment horizontal="center" vertical="center"/>
    </xf>
    <xf numFmtId="0" fontId="0" fillId="12" borderId="24" xfId="0" applyFill="1" applyBorder="1" applyAlignment="1">
      <alignment horizontal="center" vertical="center"/>
    </xf>
    <xf numFmtId="0" fontId="0" fillId="12" borderId="25" xfId="0" applyFill="1" applyBorder="1" applyAlignment="1">
      <alignment horizontal="center" vertical="center"/>
    </xf>
    <xf numFmtId="0" fontId="0" fillId="12" borderId="26" xfId="0" applyFill="1" applyBorder="1" applyAlignment="1">
      <alignment horizontal="center" vertical="center"/>
    </xf>
    <xf numFmtId="0" fontId="0" fillId="12" borderId="29" xfId="0" applyFill="1" applyBorder="1" applyAlignment="1">
      <alignment horizontal="center" vertical="center"/>
    </xf>
    <xf numFmtId="0" fontId="0" fillId="12" borderId="30" xfId="0" applyFill="1" applyBorder="1" applyAlignment="1">
      <alignment horizontal="center" vertical="center"/>
    </xf>
    <xf numFmtId="0" fontId="0" fillId="12" borderId="31" xfId="0" applyFill="1" applyBorder="1" applyAlignment="1">
      <alignment horizontal="center" vertical="center"/>
    </xf>
    <xf numFmtId="0" fontId="0" fillId="10" borderId="35" xfId="0" applyFill="1" applyBorder="1" applyAlignment="1">
      <alignment horizontal="center" vertical="center"/>
    </xf>
    <xf numFmtId="0" fontId="0" fillId="10" borderId="37" xfId="0" applyFill="1" applyBorder="1" applyAlignment="1">
      <alignment horizontal="center" vertical="center"/>
    </xf>
  </cellXfs>
  <cellStyles count="3">
    <cellStyle name="Normal" xfId="0" builtinId="0"/>
    <cellStyle name="Normal 2" xfId="1" xr:uid="{C5D5CABA-D387-44CF-B151-D821C9C6F1C8}"/>
    <cellStyle name="Normal 3 2" xfId="2" xr:uid="{74FDE30D-3DCB-4256-B01A-0EFC09F3A1CF}"/>
  </cellStyles>
  <dxfs count="12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 patternType="none">
          <bgColor auto="1"/>
        </patternFill>
      </fill>
    </dxf>
    <dxf>
      <font>
        <color theme="8"/>
      </font>
    </dxf>
    <dxf>
      <font>
        <color theme="9"/>
      </font>
    </dxf>
    <dxf>
      <font>
        <color rgb="FFC00000"/>
      </font>
    </dxf>
  </dxfs>
  <tableStyles count="0" defaultTableStyle="TableStyleMedium2" defaultPivotStyle="PivotStyleLight16"/>
  <colors>
    <mruColors>
      <color rgb="FFFFFFCC"/>
      <color rgb="FFFAEA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63D5D-C5EC-4F27-B711-927F9DF3AB93}">
  <sheetPr>
    <pageSetUpPr fitToPage="1"/>
  </sheetPr>
  <dimension ref="A1:U3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41" sqref="C41"/>
    </sheetView>
  </sheetViews>
  <sheetFormatPr defaultRowHeight="15" x14ac:dyDescent="0.2"/>
  <cols>
    <col min="1" max="1" width="10.875" style="3" bestFit="1" customWidth="1"/>
    <col min="2" max="2" width="23.25" style="3" bestFit="1" customWidth="1"/>
    <col min="3" max="3" width="41" style="3" bestFit="1" customWidth="1"/>
    <col min="4" max="4" width="13.875" style="3" customWidth="1"/>
    <col min="5" max="7" width="9" style="3" customWidth="1"/>
    <col min="8" max="8" width="13.875" style="3" customWidth="1"/>
    <col min="9" max="9" width="9" style="3" customWidth="1"/>
    <col min="10" max="10" width="14.625" style="3" customWidth="1"/>
    <col min="11" max="11" width="13.875" style="3" customWidth="1"/>
    <col min="12" max="12" width="9" style="3" customWidth="1"/>
    <col min="13" max="14" width="14.625" style="3" customWidth="1"/>
    <col min="15" max="15" width="13.875" style="3" customWidth="1"/>
    <col min="16" max="16" width="10" style="3" customWidth="1"/>
    <col min="17" max="18" width="14.625" style="3" customWidth="1"/>
    <col min="19" max="19" width="10" style="3" customWidth="1"/>
    <col min="20" max="21" width="14.625" style="3" customWidth="1"/>
    <col min="22" max="16384" width="9" style="3"/>
  </cols>
  <sheetData>
    <row r="1" spans="1:21" s="1" customFormat="1" ht="18.75" x14ac:dyDescent="0.2">
      <c r="A1" s="22"/>
      <c r="B1" s="23"/>
      <c r="C1" s="24"/>
      <c r="D1" s="22" t="s">
        <v>40</v>
      </c>
      <c r="E1" s="23"/>
      <c r="F1" s="23"/>
      <c r="G1" s="24"/>
      <c r="H1" s="22" t="s">
        <v>57</v>
      </c>
      <c r="I1" s="23"/>
      <c r="J1" s="23"/>
      <c r="K1" s="23"/>
      <c r="L1" s="23"/>
      <c r="M1" s="23"/>
      <c r="N1" s="24"/>
      <c r="O1" s="23" t="s">
        <v>39</v>
      </c>
      <c r="P1" s="23"/>
      <c r="Q1" s="23"/>
      <c r="R1" s="23"/>
      <c r="S1" s="23"/>
      <c r="T1" s="23"/>
      <c r="U1" s="24"/>
    </row>
    <row r="2" spans="1:21" s="2" customFormat="1" x14ac:dyDescent="0.2">
      <c r="A2" s="25"/>
      <c r="B2" s="26"/>
      <c r="C2" s="27"/>
      <c r="D2" s="25"/>
      <c r="E2" s="26"/>
      <c r="F2" s="26"/>
      <c r="G2" s="27"/>
      <c r="H2" s="28" t="s">
        <v>43</v>
      </c>
      <c r="I2" s="109"/>
      <c r="J2" s="109"/>
      <c r="K2" s="29" t="s">
        <v>44</v>
      </c>
      <c r="L2" s="109"/>
      <c r="M2" s="30"/>
      <c r="N2" s="31" t="s">
        <v>53</v>
      </c>
      <c r="O2" s="109" t="s">
        <v>42</v>
      </c>
      <c r="P2" s="109"/>
      <c r="Q2" s="109"/>
      <c r="R2" s="29" t="s">
        <v>43</v>
      </c>
      <c r="S2" s="109"/>
      <c r="T2" s="109"/>
      <c r="U2" s="31" t="s">
        <v>53</v>
      </c>
    </row>
    <row r="3" spans="1:21" s="2" customFormat="1" x14ac:dyDescent="0.2">
      <c r="A3" s="8" t="s">
        <v>0</v>
      </c>
      <c r="B3" s="6" t="s">
        <v>1</v>
      </c>
      <c r="C3" s="9" t="s">
        <v>45</v>
      </c>
      <c r="D3" s="8" t="s">
        <v>32</v>
      </c>
      <c r="E3" s="6" t="s">
        <v>42</v>
      </c>
      <c r="F3" s="6" t="s">
        <v>43</v>
      </c>
      <c r="G3" s="9" t="s">
        <v>41</v>
      </c>
      <c r="H3" s="8" t="s">
        <v>32</v>
      </c>
      <c r="I3" s="6" t="s">
        <v>33</v>
      </c>
      <c r="J3" s="6" t="s">
        <v>34</v>
      </c>
      <c r="K3" s="7" t="s">
        <v>55</v>
      </c>
      <c r="L3" s="6" t="s">
        <v>33</v>
      </c>
      <c r="M3" s="19" t="s">
        <v>34</v>
      </c>
      <c r="N3" s="32"/>
      <c r="O3" s="6" t="s">
        <v>32</v>
      </c>
      <c r="P3" s="6" t="s">
        <v>33</v>
      </c>
      <c r="Q3" s="6" t="s">
        <v>34</v>
      </c>
      <c r="R3" s="7" t="s">
        <v>55</v>
      </c>
      <c r="S3" s="6" t="s">
        <v>33</v>
      </c>
      <c r="T3" s="6" t="s">
        <v>34</v>
      </c>
      <c r="U3" s="32"/>
    </row>
    <row r="4" spans="1:21" x14ac:dyDescent="0.2">
      <c r="A4" s="10">
        <v>1</v>
      </c>
      <c r="B4" s="3" t="s">
        <v>2</v>
      </c>
      <c r="C4" s="11" t="s">
        <v>46</v>
      </c>
      <c r="D4" s="10">
        <v>20</v>
      </c>
      <c r="E4" s="3">
        <v>226</v>
      </c>
      <c r="F4" s="3">
        <v>453</v>
      </c>
      <c r="G4" s="15">
        <f>GEOMEAN(E4:F4)</f>
        <v>319.96562315348814</v>
      </c>
      <c r="H4" s="10">
        <v>200</v>
      </c>
      <c r="I4" s="108">
        <v>1874</v>
      </c>
      <c r="J4" s="108" t="s">
        <v>35</v>
      </c>
      <c r="K4" s="5">
        <v>200</v>
      </c>
      <c r="L4" s="108">
        <v>2142</v>
      </c>
      <c r="M4" s="20" t="s">
        <v>35</v>
      </c>
      <c r="N4" s="110">
        <f>GEOMEAN(I4,L4)</f>
        <v>2003.5238955400557</v>
      </c>
      <c r="O4" s="3">
        <v>200</v>
      </c>
      <c r="P4" s="3">
        <v>1711</v>
      </c>
      <c r="Q4" s="3" t="s">
        <v>35</v>
      </c>
      <c r="R4" s="5">
        <v>200</v>
      </c>
      <c r="S4" s="3">
        <v>1240</v>
      </c>
      <c r="T4" s="3" t="s">
        <v>35</v>
      </c>
      <c r="U4" s="17">
        <f>GEOMEAN(P4,S4)</f>
        <v>1456.5850472938407</v>
      </c>
    </row>
    <row r="5" spans="1:21" x14ac:dyDescent="0.2">
      <c r="A5" s="10">
        <v>2</v>
      </c>
      <c r="B5" s="3" t="s">
        <v>3</v>
      </c>
      <c r="C5" s="11" t="s">
        <v>47</v>
      </c>
      <c r="D5" s="10">
        <v>20</v>
      </c>
      <c r="E5" s="3">
        <v>64</v>
      </c>
      <c r="F5" s="3">
        <v>40</v>
      </c>
      <c r="G5" s="15">
        <f t="shared" ref="G5:G33" si="0">GEOMEAN(E5:F5)</f>
        <v>50.596442562694072</v>
      </c>
      <c r="H5" s="10">
        <v>200</v>
      </c>
      <c r="I5" s="108">
        <v>892</v>
      </c>
      <c r="J5" s="108" t="s">
        <v>35</v>
      </c>
      <c r="K5" s="5">
        <v>200</v>
      </c>
      <c r="L5" s="108">
        <v>709</v>
      </c>
      <c r="M5" s="20" t="s">
        <v>35</v>
      </c>
      <c r="N5" s="110">
        <f t="shared" ref="N5:N33" si="1">GEOMEAN(I5,L5)</f>
        <v>795.25341872889805</v>
      </c>
      <c r="O5" s="3">
        <v>200</v>
      </c>
      <c r="P5" s="3">
        <v>655</v>
      </c>
      <c r="Q5" s="3" t="s">
        <v>35</v>
      </c>
      <c r="R5" s="5">
        <v>200</v>
      </c>
      <c r="S5" s="3">
        <v>732</v>
      </c>
      <c r="T5" s="3" t="s">
        <v>35</v>
      </c>
      <c r="U5" s="17">
        <f t="shared" ref="U5:U33" si="2">GEOMEAN(P5,S5)</f>
        <v>692.43050192781084</v>
      </c>
    </row>
    <row r="6" spans="1:21" x14ac:dyDescent="0.2">
      <c r="A6" s="10">
        <v>3</v>
      </c>
      <c r="B6" s="3" t="s">
        <v>4</v>
      </c>
      <c r="C6" s="11" t="s">
        <v>48</v>
      </c>
      <c r="D6" s="10">
        <v>20</v>
      </c>
      <c r="E6" s="3">
        <v>806</v>
      </c>
      <c r="F6" s="3">
        <v>640</v>
      </c>
      <c r="G6" s="15">
        <f t="shared" si="0"/>
        <v>718.22002199883013</v>
      </c>
      <c r="H6" s="10">
        <v>200</v>
      </c>
      <c r="I6" s="108">
        <v>7555</v>
      </c>
      <c r="J6" s="108" t="s">
        <v>37</v>
      </c>
      <c r="K6" s="5">
        <v>200</v>
      </c>
      <c r="L6" s="108">
        <v>7000</v>
      </c>
      <c r="M6" s="20" t="s">
        <v>37</v>
      </c>
      <c r="N6" s="110">
        <f t="shared" si="1"/>
        <v>7272.2073677804319</v>
      </c>
      <c r="O6" s="3">
        <v>200</v>
      </c>
      <c r="P6" s="3">
        <v>5155</v>
      </c>
      <c r="Q6" s="3" t="s">
        <v>35</v>
      </c>
      <c r="R6" s="5">
        <v>200</v>
      </c>
      <c r="S6" s="3">
        <v>6186</v>
      </c>
      <c r="T6" s="3" t="s">
        <v>35</v>
      </c>
      <c r="U6" s="17">
        <f t="shared" si="2"/>
        <v>5647.0195678782629</v>
      </c>
    </row>
    <row r="7" spans="1:21" x14ac:dyDescent="0.2">
      <c r="A7" s="10">
        <v>4</v>
      </c>
      <c r="B7" s="3" t="s">
        <v>5</v>
      </c>
      <c r="C7" s="11" t="s">
        <v>47</v>
      </c>
      <c r="D7" s="10">
        <v>20</v>
      </c>
      <c r="E7" s="3">
        <v>57</v>
      </c>
      <c r="F7" s="3">
        <v>113</v>
      </c>
      <c r="G7" s="15">
        <f t="shared" si="0"/>
        <v>80.255840908933223</v>
      </c>
      <c r="H7" s="10">
        <v>200</v>
      </c>
      <c r="I7" s="108">
        <v>814</v>
      </c>
      <c r="J7" s="108" t="s">
        <v>35</v>
      </c>
      <c r="K7" s="5">
        <v>200</v>
      </c>
      <c r="L7" s="108">
        <v>853</v>
      </c>
      <c r="M7" s="20" t="s">
        <v>35</v>
      </c>
      <c r="N7" s="110">
        <f t="shared" si="1"/>
        <v>833.27186439960883</v>
      </c>
      <c r="O7" s="3">
        <v>200</v>
      </c>
      <c r="P7" s="3">
        <v>836</v>
      </c>
      <c r="Q7" s="3" t="s">
        <v>35</v>
      </c>
      <c r="R7" s="5">
        <v>200</v>
      </c>
      <c r="S7" s="3">
        <v>1121</v>
      </c>
      <c r="T7" s="3" t="s">
        <v>35</v>
      </c>
      <c r="U7" s="17">
        <f t="shared" si="2"/>
        <v>968.06817941713166</v>
      </c>
    </row>
    <row r="8" spans="1:21" x14ac:dyDescent="0.2">
      <c r="A8" s="10">
        <v>5</v>
      </c>
      <c r="B8" s="3" t="s">
        <v>6</v>
      </c>
      <c r="C8" s="11" t="s">
        <v>48</v>
      </c>
      <c r="D8" s="10">
        <v>20</v>
      </c>
      <c r="E8" s="3">
        <v>160</v>
      </c>
      <c r="F8" s="3">
        <v>202</v>
      </c>
      <c r="G8" s="15">
        <f t="shared" si="0"/>
        <v>179.77764043395385</v>
      </c>
      <c r="H8" s="10">
        <v>200</v>
      </c>
      <c r="I8" s="108">
        <v>1790</v>
      </c>
      <c r="J8" s="108" t="s">
        <v>35</v>
      </c>
      <c r="K8" s="5">
        <v>200</v>
      </c>
      <c r="L8" s="108">
        <v>2069</v>
      </c>
      <c r="M8" s="20" t="s">
        <v>35</v>
      </c>
      <c r="N8" s="110">
        <f t="shared" si="1"/>
        <v>1924.4505709422626</v>
      </c>
      <c r="O8" s="3">
        <v>200</v>
      </c>
      <c r="P8" s="3">
        <v>1112</v>
      </c>
      <c r="Q8" s="3" t="s">
        <v>35</v>
      </c>
      <c r="R8" s="5">
        <v>200</v>
      </c>
      <c r="S8" s="3">
        <v>1352</v>
      </c>
      <c r="T8" s="3" t="s">
        <v>35</v>
      </c>
      <c r="U8" s="17">
        <f t="shared" si="2"/>
        <v>1226.141916745366</v>
      </c>
    </row>
    <row r="9" spans="1:21" x14ac:dyDescent="0.2">
      <c r="A9" s="10">
        <v>6</v>
      </c>
      <c r="B9" s="3" t="s">
        <v>7</v>
      </c>
      <c r="C9" s="11" t="s">
        <v>47</v>
      </c>
      <c r="D9" s="10">
        <v>20</v>
      </c>
      <c r="E9" s="3">
        <v>40</v>
      </c>
      <c r="F9" s="3">
        <v>32</v>
      </c>
      <c r="G9" s="15">
        <f t="shared" si="0"/>
        <v>35.777087639996637</v>
      </c>
      <c r="H9" s="10">
        <v>200</v>
      </c>
      <c r="I9" s="108">
        <v>858</v>
      </c>
      <c r="J9" s="108" t="s">
        <v>35</v>
      </c>
      <c r="K9" s="5">
        <v>200</v>
      </c>
      <c r="L9" s="108">
        <v>663</v>
      </c>
      <c r="M9" s="20" t="s">
        <v>35</v>
      </c>
      <c r="N9" s="110">
        <f t="shared" si="1"/>
        <v>754.22410462673497</v>
      </c>
      <c r="O9" s="3">
        <v>200</v>
      </c>
      <c r="P9" s="3">
        <v>553</v>
      </c>
      <c r="Q9" s="3" t="s">
        <v>35</v>
      </c>
      <c r="R9" s="5">
        <v>200</v>
      </c>
      <c r="S9" s="3">
        <v>563</v>
      </c>
      <c r="T9" s="3" t="s">
        <v>35</v>
      </c>
      <c r="U9" s="17">
        <f t="shared" si="2"/>
        <v>557.97759811662695</v>
      </c>
    </row>
    <row r="10" spans="1:21" x14ac:dyDescent="0.2">
      <c r="A10" s="10">
        <v>7</v>
      </c>
      <c r="B10" s="3" t="s">
        <v>8</v>
      </c>
      <c r="C10" s="11" t="s">
        <v>48</v>
      </c>
      <c r="D10" s="10">
        <v>20</v>
      </c>
      <c r="E10" s="3">
        <v>320</v>
      </c>
      <c r="F10" s="3">
        <v>453</v>
      </c>
      <c r="G10" s="15">
        <f t="shared" si="0"/>
        <v>380.73612909730537</v>
      </c>
      <c r="H10" s="10">
        <v>200</v>
      </c>
      <c r="I10" s="108">
        <v>3819</v>
      </c>
      <c r="J10" s="108" t="s">
        <v>35</v>
      </c>
      <c r="K10" s="5">
        <v>200</v>
      </c>
      <c r="L10" s="108">
        <v>3538</v>
      </c>
      <c r="M10" s="20" t="s">
        <v>35</v>
      </c>
      <c r="N10" s="110">
        <f t="shared" si="1"/>
        <v>3675.8158278129222</v>
      </c>
      <c r="O10" s="3">
        <v>200</v>
      </c>
      <c r="P10" s="3">
        <v>2780</v>
      </c>
      <c r="Q10" s="3" t="s">
        <v>35</v>
      </c>
      <c r="R10" s="5">
        <v>200</v>
      </c>
      <c r="S10" s="3">
        <v>2478</v>
      </c>
      <c r="T10" s="3" t="s">
        <v>35</v>
      </c>
      <c r="U10" s="17">
        <f t="shared" si="2"/>
        <v>2624.6599779781</v>
      </c>
    </row>
    <row r="11" spans="1:21" x14ac:dyDescent="0.2">
      <c r="A11" s="10">
        <v>8</v>
      </c>
      <c r="B11" s="3" t="s">
        <v>9</v>
      </c>
      <c r="C11" s="11" t="s">
        <v>47</v>
      </c>
      <c r="D11" s="10">
        <v>20</v>
      </c>
      <c r="E11" s="3">
        <v>25</v>
      </c>
      <c r="F11" s="3">
        <v>25</v>
      </c>
      <c r="G11" s="15">
        <f t="shared" si="0"/>
        <v>25</v>
      </c>
      <c r="H11" s="10">
        <v>200</v>
      </c>
      <c r="I11" s="108">
        <v>178</v>
      </c>
      <c r="J11" s="108" t="s">
        <v>36</v>
      </c>
      <c r="K11" s="112">
        <v>20</v>
      </c>
      <c r="L11" s="108">
        <v>317</v>
      </c>
      <c r="M11" s="20" t="s">
        <v>35</v>
      </c>
      <c r="N11" s="110">
        <f t="shared" si="1"/>
        <v>237.54157530840786</v>
      </c>
      <c r="O11" s="3">
        <v>200</v>
      </c>
      <c r="P11" s="3">
        <v>206</v>
      </c>
      <c r="Q11" s="3" t="s">
        <v>36</v>
      </c>
      <c r="R11" s="112">
        <v>20</v>
      </c>
      <c r="S11" s="3">
        <v>285</v>
      </c>
      <c r="T11" s="3" t="s">
        <v>35</v>
      </c>
      <c r="U11" s="17">
        <f t="shared" si="2"/>
        <v>242.30146512144742</v>
      </c>
    </row>
    <row r="12" spans="1:21" x14ac:dyDescent="0.2">
      <c r="A12" s="10">
        <v>9</v>
      </c>
      <c r="B12" s="3" t="s">
        <v>10</v>
      </c>
      <c r="C12" s="11" t="s">
        <v>48</v>
      </c>
      <c r="D12" s="10">
        <v>20</v>
      </c>
      <c r="E12" s="3">
        <v>806</v>
      </c>
      <c r="F12" s="3">
        <v>806</v>
      </c>
      <c r="G12" s="15">
        <f t="shared" si="0"/>
        <v>806</v>
      </c>
      <c r="H12" s="10">
        <v>200</v>
      </c>
      <c r="I12" s="108">
        <v>8438</v>
      </c>
      <c r="J12" s="108" t="s">
        <v>37</v>
      </c>
      <c r="K12" s="116">
        <v>1000</v>
      </c>
      <c r="L12" s="108">
        <v>8500</v>
      </c>
      <c r="M12" s="20" t="s">
        <v>35</v>
      </c>
      <c r="N12" s="110">
        <f t="shared" si="1"/>
        <v>8468.9432634774457</v>
      </c>
      <c r="O12" s="3">
        <v>200</v>
      </c>
      <c r="P12" s="3">
        <v>9607</v>
      </c>
      <c r="Q12" s="3" t="s">
        <v>37</v>
      </c>
      <c r="R12" s="116">
        <v>1000</v>
      </c>
      <c r="S12" s="3">
        <v>6058</v>
      </c>
      <c r="T12" s="3" t="s">
        <v>35</v>
      </c>
      <c r="U12" s="17">
        <f t="shared" si="2"/>
        <v>7628.8404099181416</v>
      </c>
    </row>
    <row r="13" spans="1:21" x14ac:dyDescent="0.2">
      <c r="A13" s="10">
        <v>10</v>
      </c>
      <c r="B13" s="3" t="s">
        <v>11</v>
      </c>
      <c r="C13" s="11" t="s">
        <v>47</v>
      </c>
      <c r="D13" s="10">
        <v>20</v>
      </c>
      <c r="E13" s="3">
        <v>202</v>
      </c>
      <c r="F13" s="3">
        <v>113</v>
      </c>
      <c r="G13" s="15">
        <f t="shared" si="0"/>
        <v>151.08275877809487</v>
      </c>
      <c r="H13" s="10">
        <v>200</v>
      </c>
      <c r="I13" s="108">
        <v>1608</v>
      </c>
      <c r="J13" s="108" t="s">
        <v>35</v>
      </c>
      <c r="K13" s="5">
        <v>200</v>
      </c>
      <c r="L13" s="108">
        <v>1974</v>
      </c>
      <c r="M13" s="20" t="s">
        <v>35</v>
      </c>
      <c r="N13" s="110">
        <f t="shared" si="1"/>
        <v>1781.6262234262269</v>
      </c>
      <c r="O13" s="3">
        <v>200</v>
      </c>
      <c r="P13" s="3">
        <v>1597</v>
      </c>
      <c r="Q13" s="3" t="s">
        <v>35</v>
      </c>
      <c r="R13" s="5">
        <v>200</v>
      </c>
      <c r="S13" s="3">
        <v>2019</v>
      </c>
      <c r="T13" s="3" t="s">
        <v>35</v>
      </c>
      <c r="U13" s="17">
        <f t="shared" si="2"/>
        <v>1795.645566363251</v>
      </c>
    </row>
    <row r="14" spans="1:21" x14ac:dyDescent="0.2">
      <c r="A14" s="10">
        <v>11</v>
      </c>
      <c r="B14" s="3" t="s">
        <v>12</v>
      </c>
      <c r="C14" s="11" t="s">
        <v>48</v>
      </c>
      <c r="D14" s="10">
        <v>20</v>
      </c>
      <c r="E14" s="3">
        <v>32</v>
      </c>
      <c r="F14" s="3">
        <v>28</v>
      </c>
      <c r="G14" s="15">
        <f t="shared" si="0"/>
        <v>29.933259094191531</v>
      </c>
      <c r="H14" s="10">
        <v>200</v>
      </c>
      <c r="I14" s="108">
        <v>251</v>
      </c>
      <c r="J14" s="108" t="s">
        <v>35</v>
      </c>
      <c r="K14" s="112">
        <v>20</v>
      </c>
      <c r="L14" s="108">
        <v>437</v>
      </c>
      <c r="M14" s="20" t="s">
        <v>35</v>
      </c>
      <c r="N14" s="110">
        <f t="shared" si="1"/>
        <v>331.1902776350779</v>
      </c>
      <c r="O14" s="3">
        <v>200</v>
      </c>
      <c r="P14" s="3">
        <v>373</v>
      </c>
      <c r="Q14" s="3" t="s">
        <v>35</v>
      </c>
      <c r="R14" s="112">
        <v>20</v>
      </c>
      <c r="S14" s="3">
        <v>476</v>
      </c>
      <c r="T14" s="3" t="s">
        <v>35</v>
      </c>
      <c r="U14" s="17">
        <f t="shared" si="2"/>
        <v>421.36445032774179</v>
      </c>
    </row>
    <row r="15" spans="1:21" x14ac:dyDescent="0.2">
      <c r="A15" s="10">
        <v>12</v>
      </c>
      <c r="B15" s="3" t="s">
        <v>13</v>
      </c>
      <c r="C15" s="11" t="s">
        <v>47</v>
      </c>
      <c r="D15" s="10">
        <v>20</v>
      </c>
      <c r="E15" s="3">
        <v>80</v>
      </c>
      <c r="F15" s="3">
        <v>101</v>
      </c>
      <c r="G15" s="15">
        <f t="shared" si="0"/>
        <v>89.888820216976924</v>
      </c>
      <c r="H15" s="10">
        <v>200</v>
      </c>
      <c r="I15" s="108">
        <v>744</v>
      </c>
      <c r="J15" s="108" t="s">
        <v>35</v>
      </c>
      <c r="K15" s="5">
        <v>200</v>
      </c>
      <c r="L15" s="108">
        <v>1166</v>
      </c>
      <c r="M15" s="20" t="s">
        <v>35</v>
      </c>
      <c r="N15" s="110">
        <f t="shared" si="1"/>
        <v>931.39894781989096</v>
      </c>
      <c r="O15" s="3">
        <v>200</v>
      </c>
      <c r="P15" s="3">
        <v>905</v>
      </c>
      <c r="Q15" s="3" t="s">
        <v>35</v>
      </c>
      <c r="R15" s="5">
        <v>200</v>
      </c>
      <c r="S15" s="3">
        <v>942</v>
      </c>
      <c r="T15" s="3" t="s">
        <v>35</v>
      </c>
      <c r="U15" s="17">
        <f t="shared" si="2"/>
        <v>923.31468091869954</v>
      </c>
    </row>
    <row r="16" spans="1:21" x14ac:dyDescent="0.2">
      <c r="A16" s="10">
        <v>13</v>
      </c>
      <c r="B16" s="3" t="s">
        <v>14</v>
      </c>
      <c r="C16" s="11" t="s">
        <v>48</v>
      </c>
      <c r="D16" s="10">
        <v>20</v>
      </c>
      <c r="E16" s="3">
        <v>453</v>
      </c>
      <c r="F16" s="3">
        <v>508</v>
      </c>
      <c r="G16" s="15">
        <f t="shared" si="0"/>
        <v>479.7124138481305</v>
      </c>
      <c r="H16" s="10">
        <v>200</v>
      </c>
      <c r="I16" s="108">
        <v>3735</v>
      </c>
      <c r="J16" s="108" t="s">
        <v>35</v>
      </c>
      <c r="K16" s="5">
        <v>200</v>
      </c>
      <c r="L16" s="108">
        <v>7317</v>
      </c>
      <c r="M16" s="20" t="s">
        <v>37</v>
      </c>
      <c r="N16" s="110">
        <f t="shared" si="1"/>
        <v>5227.7141276087395</v>
      </c>
      <c r="O16" s="3">
        <v>200</v>
      </c>
      <c r="P16" s="3">
        <v>4579</v>
      </c>
      <c r="Q16" s="3" t="s">
        <v>35</v>
      </c>
      <c r="R16" s="5">
        <v>200</v>
      </c>
      <c r="S16" s="3">
        <v>4615</v>
      </c>
      <c r="T16" s="3" t="s">
        <v>35</v>
      </c>
      <c r="U16" s="17">
        <f t="shared" si="2"/>
        <v>4596.9647594907665</v>
      </c>
    </row>
    <row r="17" spans="1:21" x14ac:dyDescent="0.2">
      <c r="A17" s="10">
        <v>14</v>
      </c>
      <c r="B17" s="3" t="s">
        <v>15</v>
      </c>
      <c r="C17" s="11" t="s">
        <v>47</v>
      </c>
      <c r="D17" s="10">
        <v>20</v>
      </c>
      <c r="E17" s="3">
        <v>25</v>
      </c>
      <c r="F17" s="3">
        <v>25</v>
      </c>
      <c r="G17" s="15">
        <f t="shared" si="0"/>
        <v>25</v>
      </c>
      <c r="H17" s="10">
        <v>200</v>
      </c>
      <c r="I17" s="108">
        <v>188</v>
      </c>
      <c r="J17" s="108" t="s">
        <v>36</v>
      </c>
      <c r="K17" s="112">
        <v>20</v>
      </c>
      <c r="L17" s="108">
        <v>226</v>
      </c>
      <c r="M17" s="20" t="s">
        <v>35</v>
      </c>
      <c r="N17" s="110">
        <f t="shared" si="1"/>
        <v>206.12617495116916</v>
      </c>
      <c r="O17" s="3">
        <v>200</v>
      </c>
      <c r="P17" s="3">
        <v>206</v>
      </c>
      <c r="Q17" s="3" t="s">
        <v>36</v>
      </c>
      <c r="R17" s="112">
        <v>20</v>
      </c>
      <c r="S17" s="3">
        <v>358</v>
      </c>
      <c r="T17" s="3" t="s">
        <v>35</v>
      </c>
      <c r="U17" s="17">
        <f t="shared" si="2"/>
        <v>271.56582995656873</v>
      </c>
    </row>
    <row r="18" spans="1:21" x14ac:dyDescent="0.2">
      <c r="A18" s="10">
        <v>15</v>
      </c>
      <c r="B18" s="3" t="s">
        <v>16</v>
      </c>
      <c r="C18" s="11" t="s">
        <v>48</v>
      </c>
      <c r="D18" s="10">
        <v>20</v>
      </c>
      <c r="E18" s="3">
        <v>806</v>
      </c>
      <c r="F18" s="3">
        <v>806</v>
      </c>
      <c r="G18" s="15">
        <f t="shared" si="0"/>
        <v>806</v>
      </c>
      <c r="H18" s="10">
        <v>200</v>
      </c>
      <c r="I18" s="108">
        <v>6950</v>
      </c>
      <c r="J18" s="108" t="s">
        <v>37</v>
      </c>
      <c r="K18" s="116">
        <v>1000</v>
      </c>
      <c r="L18" s="108">
        <v>7901</v>
      </c>
      <c r="M18" s="20" t="s">
        <v>35</v>
      </c>
      <c r="N18" s="110">
        <f t="shared" si="1"/>
        <v>7410.2597795219026</v>
      </c>
      <c r="O18" s="3">
        <v>200</v>
      </c>
      <c r="P18" s="3">
        <v>5530</v>
      </c>
      <c r="Q18" s="3" t="s">
        <v>35</v>
      </c>
      <c r="R18" s="116">
        <v>1000</v>
      </c>
      <c r="S18" s="3">
        <v>4008</v>
      </c>
      <c r="T18" s="3" t="s">
        <v>35</v>
      </c>
      <c r="U18" s="17">
        <f t="shared" si="2"/>
        <v>4707.8912476819169</v>
      </c>
    </row>
    <row r="19" spans="1:21" x14ac:dyDescent="0.2">
      <c r="A19" s="10">
        <v>16</v>
      </c>
      <c r="B19" s="3" t="s">
        <v>17</v>
      </c>
      <c r="C19" s="11" t="s">
        <v>47</v>
      </c>
      <c r="D19" s="10">
        <v>20</v>
      </c>
      <c r="E19" s="3">
        <v>127</v>
      </c>
      <c r="F19" s="3">
        <v>202</v>
      </c>
      <c r="G19" s="15">
        <f t="shared" si="0"/>
        <v>160.1686611044745</v>
      </c>
      <c r="H19" s="10">
        <v>200</v>
      </c>
      <c r="I19" s="108">
        <v>1733</v>
      </c>
      <c r="J19" s="108" t="s">
        <v>35</v>
      </c>
      <c r="K19" s="5">
        <v>200</v>
      </c>
      <c r="L19" s="108">
        <v>2282</v>
      </c>
      <c r="M19" s="20" t="s">
        <v>35</v>
      </c>
      <c r="N19" s="110">
        <f t="shared" si="1"/>
        <v>1988.6442618024976</v>
      </c>
      <c r="O19" s="3">
        <v>200</v>
      </c>
      <c r="P19" s="3">
        <v>1319</v>
      </c>
      <c r="Q19" s="3" t="s">
        <v>35</v>
      </c>
      <c r="R19" s="5">
        <v>200</v>
      </c>
      <c r="S19" s="3">
        <v>1863</v>
      </c>
      <c r="T19" s="3" t="s">
        <v>35</v>
      </c>
      <c r="U19" s="17">
        <f t="shared" si="2"/>
        <v>1567.5767923773303</v>
      </c>
    </row>
    <row r="20" spans="1:21" x14ac:dyDescent="0.2">
      <c r="A20" s="10">
        <v>17</v>
      </c>
      <c r="B20" s="3" t="s">
        <v>18</v>
      </c>
      <c r="C20" s="11" t="s">
        <v>48</v>
      </c>
      <c r="D20" s="10">
        <v>20</v>
      </c>
      <c r="E20" s="3">
        <v>254</v>
      </c>
      <c r="F20" s="3">
        <v>508</v>
      </c>
      <c r="G20" s="15">
        <f t="shared" si="0"/>
        <v>359.21024484276614</v>
      </c>
      <c r="H20" s="10">
        <v>200</v>
      </c>
      <c r="I20" s="108">
        <v>3965</v>
      </c>
      <c r="J20" s="108" t="s">
        <v>35</v>
      </c>
      <c r="K20" s="5">
        <v>200</v>
      </c>
      <c r="L20" s="108">
        <v>4611</v>
      </c>
      <c r="M20" s="20" t="s">
        <v>35</v>
      </c>
      <c r="N20" s="110">
        <f t="shared" si="1"/>
        <v>4275.8174657017344</v>
      </c>
      <c r="O20" s="3">
        <v>200</v>
      </c>
      <c r="P20" s="3">
        <v>2930</v>
      </c>
      <c r="Q20" s="3" t="s">
        <v>35</v>
      </c>
      <c r="R20" s="5">
        <v>200</v>
      </c>
      <c r="S20" s="3">
        <v>2526</v>
      </c>
      <c r="T20" s="3" t="s">
        <v>35</v>
      </c>
      <c r="U20" s="17">
        <f t="shared" si="2"/>
        <v>2720.5109814150724</v>
      </c>
    </row>
    <row r="21" spans="1:21" x14ac:dyDescent="0.2">
      <c r="A21" s="10">
        <v>18</v>
      </c>
      <c r="B21" s="3" t="s">
        <v>19</v>
      </c>
      <c r="C21" s="11" t="s">
        <v>49</v>
      </c>
      <c r="D21" s="10">
        <v>20</v>
      </c>
      <c r="E21" s="3">
        <v>806</v>
      </c>
      <c r="F21" s="3">
        <v>905</v>
      </c>
      <c r="G21" s="15">
        <f t="shared" si="0"/>
        <v>854.0667421226517</v>
      </c>
      <c r="H21" s="10">
        <v>200</v>
      </c>
      <c r="I21" s="108">
        <v>9201</v>
      </c>
      <c r="J21" s="108" t="s">
        <v>37</v>
      </c>
      <c r="K21" s="116">
        <v>1000</v>
      </c>
      <c r="L21" s="108">
        <v>10033</v>
      </c>
      <c r="M21" s="20" t="s">
        <v>35</v>
      </c>
      <c r="N21" s="110">
        <f t="shared" si="1"/>
        <v>9607.9983867608971</v>
      </c>
      <c r="O21" s="3">
        <v>200</v>
      </c>
      <c r="P21" s="3">
        <v>7929</v>
      </c>
      <c r="Q21" s="3" t="s">
        <v>37</v>
      </c>
      <c r="R21" s="116">
        <v>1000</v>
      </c>
      <c r="S21" s="3">
        <v>5582</v>
      </c>
      <c r="T21" s="3" t="s">
        <v>35</v>
      </c>
      <c r="U21" s="17">
        <f t="shared" si="2"/>
        <v>6652.7947510801805</v>
      </c>
    </row>
    <row r="22" spans="1:21" x14ac:dyDescent="0.2">
      <c r="A22" s="10">
        <v>19</v>
      </c>
      <c r="B22" s="3" t="s">
        <v>20</v>
      </c>
      <c r="C22" s="11" t="s">
        <v>49</v>
      </c>
      <c r="D22" s="10">
        <v>20</v>
      </c>
      <c r="E22" s="3">
        <v>403</v>
      </c>
      <c r="F22" s="3">
        <v>640</v>
      </c>
      <c r="G22" s="15">
        <f t="shared" si="0"/>
        <v>507.85824793932414</v>
      </c>
      <c r="H22" s="10">
        <v>200</v>
      </c>
      <c r="I22" s="108">
        <v>4614</v>
      </c>
      <c r="J22" s="108" t="s">
        <v>35</v>
      </c>
      <c r="K22" s="5">
        <v>200</v>
      </c>
      <c r="L22" s="108">
        <v>6662</v>
      </c>
      <c r="M22" s="20" t="s">
        <v>37</v>
      </c>
      <c r="N22" s="110">
        <f t="shared" si="1"/>
        <v>5544.2283502756272</v>
      </c>
      <c r="O22" s="3">
        <v>200</v>
      </c>
      <c r="P22" s="3">
        <v>4814</v>
      </c>
      <c r="Q22" s="3" t="s">
        <v>35</v>
      </c>
      <c r="R22" s="5">
        <v>200</v>
      </c>
      <c r="S22" s="3">
        <v>3504</v>
      </c>
      <c r="T22" s="3" t="s">
        <v>35</v>
      </c>
      <c r="U22" s="17">
        <f t="shared" si="2"/>
        <v>4107.09824572045</v>
      </c>
    </row>
    <row r="23" spans="1:21" x14ac:dyDescent="0.2">
      <c r="A23" s="10">
        <v>20</v>
      </c>
      <c r="B23" s="3" t="s">
        <v>21</v>
      </c>
      <c r="C23" s="11" t="s">
        <v>49</v>
      </c>
      <c r="D23" s="10">
        <v>20</v>
      </c>
      <c r="E23" s="3">
        <v>254</v>
      </c>
      <c r="F23" s="3">
        <v>320</v>
      </c>
      <c r="G23" s="15">
        <f t="shared" si="0"/>
        <v>285.09647489928739</v>
      </c>
      <c r="H23" s="10">
        <v>200</v>
      </c>
      <c r="I23" s="108">
        <v>3115</v>
      </c>
      <c r="J23" s="108" t="s">
        <v>35</v>
      </c>
      <c r="K23" s="5">
        <v>200</v>
      </c>
      <c r="L23" s="108">
        <v>3261</v>
      </c>
      <c r="M23" s="20" t="s">
        <v>35</v>
      </c>
      <c r="N23" s="110">
        <f t="shared" si="1"/>
        <v>3187.1640999484166</v>
      </c>
      <c r="O23" s="3">
        <v>200</v>
      </c>
      <c r="P23" s="3">
        <v>3397</v>
      </c>
      <c r="Q23" s="3" t="s">
        <v>35</v>
      </c>
      <c r="R23" s="5">
        <v>200</v>
      </c>
      <c r="S23" s="3">
        <v>2979</v>
      </c>
      <c r="T23" s="3" t="s">
        <v>35</v>
      </c>
      <c r="U23" s="17">
        <f t="shared" si="2"/>
        <v>3181.141776155222</v>
      </c>
    </row>
    <row r="24" spans="1:21" x14ac:dyDescent="0.2">
      <c r="A24" s="10">
        <v>21</v>
      </c>
      <c r="B24" s="3" t="s">
        <v>22</v>
      </c>
      <c r="C24" s="11" t="s">
        <v>49</v>
      </c>
      <c r="D24" s="10">
        <v>20</v>
      </c>
      <c r="E24" s="3">
        <v>320</v>
      </c>
      <c r="F24" s="3">
        <v>320</v>
      </c>
      <c r="G24" s="15">
        <f t="shared" si="0"/>
        <v>320</v>
      </c>
      <c r="H24" s="10">
        <v>200</v>
      </c>
      <c r="I24" s="108">
        <v>3528</v>
      </c>
      <c r="J24" s="108" t="s">
        <v>35</v>
      </c>
      <c r="K24" s="5">
        <v>200</v>
      </c>
      <c r="L24" s="108">
        <v>4253</v>
      </c>
      <c r="M24" s="20" t="s">
        <v>35</v>
      </c>
      <c r="N24" s="110">
        <f t="shared" si="1"/>
        <v>3873.5750928567268</v>
      </c>
      <c r="O24" s="3">
        <v>200</v>
      </c>
      <c r="P24" s="3">
        <v>1824</v>
      </c>
      <c r="Q24" s="3" t="s">
        <v>35</v>
      </c>
      <c r="R24" s="5">
        <v>200</v>
      </c>
      <c r="S24" s="3">
        <v>1981</v>
      </c>
      <c r="T24" s="3" t="s">
        <v>35</v>
      </c>
      <c r="U24" s="17">
        <f t="shared" si="2"/>
        <v>1900.8797963048582</v>
      </c>
    </row>
    <row r="25" spans="1:21" x14ac:dyDescent="0.2">
      <c r="A25" s="10">
        <v>22</v>
      </c>
      <c r="B25" s="3" t="s">
        <v>23</v>
      </c>
      <c r="C25" s="11" t="s">
        <v>49</v>
      </c>
      <c r="D25" s="10">
        <v>20</v>
      </c>
      <c r="E25" s="3">
        <v>202</v>
      </c>
      <c r="F25" s="3">
        <v>202</v>
      </c>
      <c r="G25" s="15">
        <f t="shared" si="0"/>
        <v>202</v>
      </c>
      <c r="H25" s="10">
        <v>200</v>
      </c>
      <c r="I25" s="108">
        <v>1341</v>
      </c>
      <c r="J25" s="108" t="s">
        <v>35</v>
      </c>
      <c r="K25" s="5">
        <v>200</v>
      </c>
      <c r="L25" s="108">
        <v>2235</v>
      </c>
      <c r="M25" s="20" t="s">
        <v>35</v>
      </c>
      <c r="N25" s="110">
        <f t="shared" si="1"/>
        <v>1731.2235557547153</v>
      </c>
      <c r="O25" s="3">
        <v>200</v>
      </c>
      <c r="P25" s="3">
        <v>1724</v>
      </c>
      <c r="Q25" s="3" t="s">
        <v>35</v>
      </c>
      <c r="R25" s="5">
        <v>200</v>
      </c>
      <c r="S25" s="3">
        <v>1655</v>
      </c>
      <c r="T25" s="3" t="s">
        <v>35</v>
      </c>
      <c r="U25" s="17">
        <f t="shared" si="2"/>
        <v>1689.1477140854199</v>
      </c>
    </row>
    <row r="26" spans="1:21" x14ac:dyDescent="0.2">
      <c r="A26" s="10">
        <v>23</v>
      </c>
      <c r="B26" s="3" t="s">
        <v>24</v>
      </c>
      <c r="C26" s="11" t="s">
        <v>49</v>
      </c>
      <c r="D26" s="10">
        <v>20</v>
      </c>
      <c r="E26" s="3">
        <v>905</v>
      </c>
      <c r="F26" s="3">
        <v>640</v>
      </c>
      <c r="G26" s="15">
        <f t="shared" si="0"/>
        <v>761.05190361761788</v>
      </c>
      <c r="H26" s="10">
        <v>200</v>
      </c>
      <c r="I26" s="108">
        <v>9668</v>
      </c>
      <c r="J26" s="108" t="s">
        <v>37</v>
      </c>
      <c r="K26" s="116">
        <v>1000</v>
      </c>
      <c r="L26" s="108">
        <v>9837</v>
      </c>
      <c r="M26" s="20" t="s">
        <v>35</v>
      </c>
      <c r="N26" s="110">
        <f t="shared" si="1"/>
        <v>9752.1339203273874</v>
      </c>
      <c r="O26" s="3">
        <v>200</v>
      </c>
      <c r="P26" s="3">
        <v>5853</v>
      </c>
      <c r="Q26" s="3" t="s">
        <v>35</v>
      </c>
      <c r="R26" s="116">
        <v>1000</v>
      </c>
      <c r="S26" s="3">
        <v>4249</v>
      </c>
      <c r="T26" s="3" t="s">
        <v>35</v>
      </c>
      <c r="U26" s="17">
        <f t="shared" si="2"/>
        <v>4986.9225981561012</v>
      </c>
    </row>
    <row r="27" spans="1:21" x14ac:dyDescent="0.2">
      <c r="A27" s="10">
        <v>24</v>
      </c>
      <c r="B27" s="3" t="s">
        <v>25</v>
      </c>
      <c r="C27" s="11" t="s">
        <v>49</v>
      </c>
      <c r="D27" s="10">
        <v>20</v>
      </c>
      <c r="E27" s="3">
        <v>254</v>
      </c>
      <c r="F27" s="3">
        <v>254</v>
      </c>
      <c r="G27" s="15">
        <f t="shared" si="0"/>
        <v>254</v>
      </c>
      <c r="H27" s="10">
        <v>200</v>
      </c>
      <c r="I27" s="108">
        <v>3812</v>
      </c>
      <c r="J27" s="108" t="s">
        <v>35</v>
      </c>
      <c r="K27" s="5">
        <v>200</v>
      </c>
      <c r="L27" s="108">
        <v>5038</v>
      </c>
      <c r="M27" s="20" t="s">
        <v>35</v>
      </c>
      <c r="N27" s="110">
        <f t="shared" si="1"/>
        <v>4382.3345376636871</v>
      </c>
      <c r="O27" s="3">
        <v>200</v>
      </c>
      <c r="P27" s="3">
        <v>2504</v>
      </c>
      <c r="Q27" s="3" t="s">
        <v>35</v>
      </c>
      <c r="R27" s="5">
        <v>200</v>
      </c>
      <c r="S27" s="3">
        <v>2694</v>
      </c>
      <c r="T27" s="3" t="s">
        <v>35</v>
      </c>
      <c r="U27" s="17">
        <f t="shared" si="2"/>
        <v>2597.2631749593647</v>
      </c>
    </row>
    <row r="28" spans="1:21" x14ac:dyDescent="0.2">
      <c r="A28" s="10">
        <v>25</v>
      </c>
      <c r="B28" s="3" t="s">
        <v>26</v>
      </c>
      <c r="C28" s="11" t="s">
        <v>49</v>
      </c>
      <c r="D28" s="10">
        <v>20</v>
      </c>
      <c r="E28" s="3">
        <v>508</v>
      </c>
      <c r="F28" s="3">
        <v>403</v>
      </c>
      <c r="G28" s="15">
        <f t="shared" si="0"/>
        <v>452.46436323759247</v>
      </c>
      <c r="H28" s="10">
        <v>200</v>
      </c>
      <c r="I28" s="108">
        <v>3830</v>
      </c>
      <c r="J28" s="108" t="s">
        <v>35</v>
      </c>
      <c r="K28" s="5">
        <v>200</v>
      </c>
      <c r="L28" s="108">
        <v>4859</v>
      </c>
      <c r="M28" s="20" t="s">
        <v>35</v>
      </c>
      <c r="N28" s="110">
        <f t="shared" si="1"/>
        <v>4313.9274449160594</v>
      </c>
      <c r="O28" s="3">
        <v>200</v>
      </c>
      <c r="P28" s="3">
        <v>3170</v>
      </c>
      <c r="Q28" s="3" t="s">
        <v>35</v>
      </c>
      <c r="R28" s="5">
        <v>200</v>
      </c>
      <c r="S28" s="3">
        <v>2487</v>
      </c>
      <c r="T28" s="3" t="s">
        <v>35</v>
      </c>
      <c r="U28" s="17">
        <f t="shared" si="2"/>
        <v>2807.8087541711243</v>
      </c>
    </row>
    <row r="29" spans="1:21" x14ac:dyDescent="0.2">
      <c r="A29" s="10">
        <v>26</v>
      </c>
      <c r="B29" s="3" t="s">
        <v>27</v>
      </c>
      <c r="C29" s="11" t="s">
        <v>49</v>
      </c>
      <c r="D29" s="10">
        <v>20</v>
      </c>
      <c r="E29" s="3">
        <v>640</v>
      </c>
      <c r="F29" s="3">
        <v>1280</v>
      </c>
      <c r="G29" s="15">
        <f t="shared" si="0"/>
        <v>905.09667991878086</v>
      </c>
      <c r="H29" s="10">
        <v>200</v>
      </c>
      <c r="I29" s="108">
        <v>8511</v>
      </c>
      <c r="J29" s="108" t="s">
        <v>37</v>
      </c>
      <c r="K29" s="116">
        <v>1000</v>
      </c>
      <c r="L29" s="108">
        <v>12216</v>
      </c>
      <c r="M29" s="20" t="s">
        <v>35</v>
      </c>
      <c r="N29" s="110">
        <f t="shared" si="1"/>
        <v>10196.586487643794</v>
      </c>
      <c r="O29" s="3">
        <v>200</v>
      </c>
      <c r="P29" s="3">
        <v>12271</v>
      </c>
      <c r="Q29" s="3" t="s">
        <v>37</v>
      </c>
      <c r="R29" s="116">
        <v>1000</v>
      </c>
      <c r="S29" s="3">
        <v>7060</v>
      </c>
      <c r="T29" s="3" t="s">
        <v>35</v>
      </c>
      <c r="U29" s="17">
        <f t="shared" si="2"/>
        <v>9307.6989637611296</v>
      </c>
    </row>
    <row r="30" spans="1:21" x14ac:dyDescent="0.2">
      <c r="A30" s="10">
        <v>27</v>
      </c>
      <c r="B30" s="3" t="s">
        <v>28</v>
      </c>
      <c r="C30" s="11" t="s">
        <v>49</v>
      </c>
      <c r="D30" s="10">
        <v>20</v>
      </c>
      <c r="E30" s="3">
        <v>202</v>
      </c>
      <c r="F30" s="3">
        <v>320</v>
      </c>
      <c r="G30" s="15">
        <f t="shared" si="0"/>
        <v>254.24397731313124</v>
      </c>
      <c r="H30" s="10">
        <v>200</v>
      </c>
      <c r="I30" s="108">
        <v>1787</v>
      </c>
      <c r="J30" s="108" t="s">
        <v>35</v>
      </c>
      <c r="K30" s="5">
        <v>200</v>
      </c>
      <c r="L30" s="108">
        <v>3512</v>
      </c>
      <c r="M30" s="20" t="s">
        <v>35</v>
      </c>
      <c r="N30" s="110">
        <f t="shared" si="1"/>
        <v>2505.1834264181134</v>
      </c>
      <c r="O30" s="3">
        <v>200</v>
      </c>
      <c r="P30" s="3">
        <v>1544</v>
      </c>
      <c r="Q30" s="3" t="s">
        <v>35</v>
      </c>
      <c r="R30" s="5">
        <v>200</v>
      </c>
      <c r="S30" s="3">
        <v>1515</v>
      </c>
      <c r="T30" s="3" t="s">
        <v>35</v>
      </c>
      <c r="U30" s="17">
        <f t="shared" si="2"/>
        <v>1529.4312668439861</v>
      </c>
    </row>
    <row r="31" spans="1:21" x14ac:dyDescent="0.2">
      <c r="A31" s="10">
        <v>28</v>
      </c>
      <c r="B31" s="3" t="s">
        <v>29</v>
      </c>
      <c r="C31" s="11" t="s">
        <v>50</v>
      </c>
      <c r="D31" s="10">
        <v>20</v>
      </c>
      <c r="E31" s="3">
        <v>640</v>
      </c>
      <c r="F31" s="3">
        <v>453</v>
      </c>
      <c r="G31" s="15">
        <f t="shared" si="0"/>
        <v>538.44219745484293</v>
      </c>
      <c r="H31" s="10">
        <v>200</v>
      </c>
      <c r="I31" s="108">
        <v>4475</v>
      </c>
      <c r="J31" s="108" t="s">
        <v>35</v>
      </c>
      <c r="K31" s="5">
        <v>200</v>
      </c>
      <c r="L31" s="108">
        <v>8582</v>
      </c>
      <c r="M31" s="20" t="s">
        <v>37</v>
      </c>
      <c r="N31" s="110">
        <f t="shared" si="1"/>
        <v>6197.1324013611329</v>
      </c>
      <c r="O31" s="3">
        <v>200</v>
      </c>
      <c r="P31" s="3">
        <v>4838</v>
      </c>
      <c r="Q31" s="3" t="s">
        <v>35</v>
      </c>
      <c r="R31" s="5">
        <v>200</v>
      </c>
      <c r="S31" s="3">
        <v>4946</v>
      </c>
      <c r="T31" s="3" t="s">
        <v>35</v>
      </c>
      <c r="U31" s="17">
        <f t="shared" si="2"/>
        <v>4891.7019533082757</v>
      </c>
    </row>
    <row r="32" spans="1:21" x14ac:dyDescent="0.2">
      <c r="A32" s="10">
        <v>29</v>
      </c>
      <c r="B32" s="3" t="s">
        <v>30</v>
      </c>
      <c r="C32" s="11" t="s">
        <v>51</v>
      </c>
      <c r="D32" s="10">
        <v>20</v>
      </c>
      <c r="E32" s="3">
        <v>10</v>
      </c>
      <c r="F32" s="3">
        <v>10</v>
      </c>
      <c r="G32" s="15">
        <f t="shared" si="0"/>
        <v>10</v>
      </c>
      <c r="H32" s="10">
        <v>200</v>
      </c>
      <c r="I32" s="108">
        <v>0</v>
      </c>
      <c r="J32" s="108" t="s">
        <v>38</v>
      </c>
      <c r="K32" s="112">
        <v>20</v>
      </c>
      <c r="L32" s="108">
        <v>2</v>
      </c>
      <c r="M32" s="20" t="s">
        <v>38</v>
      </c>
      <c r="N32" s="110" t="e">
        <f t="shared" si="1"/>
        <v>#NUM!</v>
      </c>
      <c r="O32" s="3">
        <v>200</v>
      </c>
      <c r="P32" s="3">
        <v>0</v>
      </c>
      <c r="Q32" s="3" t="s">
        <v>38</v>
      </c>
      <c r="R32" s="112">
        <v>20</v>
      </c>
      <c r="S32" s="3">
        <v>0</v>
      </c>
      <c r="T32" s="3" t="s">
        <v>38</v>
      </c>
      <c r="U32" s="18" t="e">
        <f t="shared" si="2"/>
        <v>#NUM!</v>
      </c>
    </row>
    <row r="33" spans="1:21" ht="15.75" thickBot="1" x14ac:dyDescent="0.25">
      <c r="A33" s="12">
        <v>30</v>
      </c>
      <c r="B33" s="13" t="s">
        <v>31</v>
      </c>
      <c r="C33" s="14" t="s">
        <v>52</v>
      </c>
      <c r="D33" s="12">
        <v>20</v>
      </c>
      <c r="E33" s="13">
        <v>10</v>
      </c>
      <c r="F33" s="13">
        <v>10</v>
      </c>
      <c r="G33" s="16">
        <f t="shared" si="0"/>
        <v>10</v>
      </c>
      <c r="H33" s="115">
        <v>20</v>
      </c>
      <c r="I33" s="13"/>
      <c r="J33" s="13" t="s">
        <v>38</v>
      </c>
      <c r="K33" s="113">
        <v>20</v>
      </c>
      <c r="L33" s="13">
        <v>3</v>
      </c>
      <c r="M33" s="21" t="s">
        <v>38</v>
      </c>
      <c r="N33" s="111">
        <f t="shared" si="1"/>
        <v>3</v>
      </c>
      <c r="O33" s="114">
        <v>20</v>
      </c>
      <c r="P33" s="13">
        <v>0</v>
      </c>
      <c r="Q33" s="13" t="s">
        <v>38</v>
      </c>
      <c r="R33" s="113">
        <v>20</v>
      </c>
      <c r="S33" s="13">
        <v>0</v>
      </c>
      <c r="T33" s="13" t="s">
        <v>38</v>
      </c>
      <c r="U33" s="117" t="e">
        <f t="shared" si="2"/>
        <v>#NUM!</v>
      </c>
    </row>
    <row r="35" spans="1:21" x14ac:dyDescent="0.2">
      <c r="H35" s="4" t="s">
        <v>54</v>
      </c>
      <c r="K35" s="4" t="s">
        <v>56</v>
      </c>
    </row>
    <row r="36" spans="1:21" x14ac:dyDescent="0.2">
      <c r="H36" s="4"/>
    </row>
  </sheetData>
  <mergeCells count="10">
    <mergeCell ref="D1:G2"/>
    <mergeCell ref="O1:U1"/>
    <mergeCell ref="A1:C2"/>
    <mergeCell ref="H2:J2"/>
    <mergeCell ref="K2:M2"/>
    <mergeCell ref="O2:Q2"/>
    <mergeCell ref="R2:T2"/>
    <mergeCell ref="U2:U3"/>
    <mergeCell ref="N2:N3"/>
    <mergeCell ref="H1:N1"/>
  </mergeCells>
  <conditionalFormatting sqref="A1 D1 H1:H2 O1:O2 V1:XFD1048576 K2 R2 U2 A3:B42 D3:M41 E42:M42 A43 D43:M1048576 A44:B1048576 O3:T3 N4:U1048576">
    <cfRule type="containsText" dxfId="11" priority="1" operator="containsText" text="Negative">
      <formula>NOT(ISERROR(SEARCH("Negative",A1)))</formula>
    </cfRule>
    <cfRule type="containsText" dxfId="10" priority="2" operator="containsText" text="Increase dilution">
      <formula>NOT(ISERROR(SEARCH("Increase dilution",A1)))</formula>
    </cfRule>
    <cfRule type="containsText" dxfId="9" priority="3" operator="containsText" text="Decrease dilution">
      <formula>NOT(ISERROR(SEARCH("Decrease dilution",A1)))</formula>
    </cfRule>
  </conditionalFormatting>
  <pageMargins left="0.7" right="0.7" top="0.75" bottom="0.75" header="0.3" footer="0.3"/>
  <pageSetup paperSize="9" scale="2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CAB44-6B2E-44EA-AB8E-684CFBD5C727}">
  <dimension ref="A1:AB32"/>
  <sheetViews>
    <sheetView zoomScale="85" zoomScaleNormal="85" workbookViewId="0">
      <selection activeCell="M47" sqref="M47"/>
    </sheetView>
  </sheetViews>
  <sheetFormatPr defaultRowHeight="15" x14ac:dyDescent="0.2"/>
  <cols>
    <col min="1" max="2" width="9" style="3"/>
    <col min="3" max="3" width="24.625" style="3" bestFit="1" customWidth="1"/>
    <col min="4" max="4" width="13.375" style="3" bestFit="1" customWidth="1"/>
    <col min="5" max="16384" width="9" style="3"/>
  </cols>
  <sheetData>
    <row r="1" spans="1:28" s="35" customFormat="1" ht="30" x14ac:dyDescent="0.2">
      <c r="A1" s="35" t="s">
        <v>58</v>
      </c>
      <c r="B1" s="35" t="s">
        <v>59</v>
      </c>
      <c r="C1" s="35" t="s">
        <v>60</v>
      </c>
      <c r="D1" s="35" t="s">
        <v>61</v>
      </c>
      <c r="E1" s="35">
        <v>20</v>
      </c>
      <c r="F1" s="35">
        <v>40</v>
      </c>
      <c r="G1" s="35">
        <v>80</v>
      </c>
      <c r="H1" s="35">
        <v>160</v>
      </c>
      <c r="I1" s="35">
        <v>320</v>
      </c>
      <c r="J1" s="35">
        <v>640</v>
      </c>
      <c r="K1" s="35">
        <v>1280</v>
      </c>
      <c r="L1" s="35">
        <v>2560</v>
      </c>
      <c r="M1" s="35">
        <v>5120</v>
      </c>
      <c r="N1" s="35">
        <v>10240</v>
      </c>
      <c r="O1" s="35" t="s">
        <v>62</v>
      </c>
      <c r="P1" s="35" t="s">
        <v>63</v>
      </c>
      <c r="Q1" s="36" t="s">
        <v>95</v>
      </c>
      <c r="R1" s="36" t="s">
        <v>96</v>
      </c>
      <c r="S1" s="37" t="s">
        <v>97</v>
      </c>
      <c r="T1" s="36" t="s">
        <v>98</v>
      </c>
      <c r="U1" s="37" t="s">
        <v>99</v>
      </c>
      <c r="V1" s="37" t="s">
        <v>100</v>
      </c>
      <c r="W1" s="37" t="s">
        <v>101</v>
      </c>
      <c r="X1" s="37" t="s">
        <v>102</v>
      </c>
      <c r="Y1" s="37" t="s">
        <v>103</v>
      </c>
      <c r="Z1" s="37" t="s">
        <v>104</v>
      </c>
      <c r="AA1" s="37" t="s">
        <v>105</v>
      </c>
      <c r="AB1" s="38" t="s">
        <v>106</v>
      </c>
    </row>
    <row r="2" spans="1:28" s="39" customFormat="1" ht="30" x14ac:dyDescent="0.2">
      <c r="E2" s="39">
        <v>1</v>
      </c>
      <c r="F2" s="39">
        <v>2</v>
      </c>
      <c r="G2" s="39">
        <v>3</v>
      </c>
      <c r="H2" s="39">
        <v>4</v>
      </c>
      <c r="I2" s="39">
        <v>5</v>
      </c>
      <c r="J2" s="39">
        <v>6</v>
      </c>
      <c r="K2" s="39">
        <v>7</v>
      </c>
      <c r="L2" s="39">
        <v>8</v>
      </c>
      <c r="M2" s="39">
        <v>9</v>
      </c>
      <c r="N2" s="39">
        <v>10</v>
      </c>
      <c r="O2" s="39">
        <v>11</v>
      </c>
      <c r="P2" s="39">
        <v>12</v>
      </c>
      <c r="Q2" s="36" t="s">
        <v>107</v>
      </c>
      <c r="R2" s="36" t="s">
        <v>108</v>
      </c>
      <c r="S2" s="37" t="s">
        <v>109</v>
      </c>
      <c r="T2" s="36" t="s">
        <v>110</v>
      </c>
      <c r="U2" s="37" t="s">
        <v>111</v>
      </c>
      <c r="V2" s="37" t="s">
        <v>112</v>
      </c>
      <c r="W2" s="37" t="s">
        <v>113</v>
      </c>
      <c r="X2" s="37" t="s">
        <v>114</v>
      </c>
      <c r="Y2" s="37" t="s">
        <v>115</v>
      </c>
      <c r="Z2" s="40"/>
      <c r="AA2" s="40"/>
      <c r="AB2" s="41"/>
    </row>
    <row r="3" spans="1:28" x14ac:dyDescent="0.2">
      <c r="A3" s="34" t="s">
        <v>64</v>
      </c>
      <c r="B3" s="3">
        <v>1</v>
      </c>
      <c r="C3" s="3" t="s">
        <v>2</v>
      </c>
      <c r="D3" s="3" t="s">
        <v>94</v>
      </c>
      <c r="E3" s="42" t="s">
        <v>65</v>
      </c>
      <c r="F3" s="42" t="s">
        <v>65</v>
      </c>
      <c r="G3" s="42" t="s">
        <v>65</v>
      </c>
      <c r="H3" s="42" t="s">
        <v>65</v>
      </c>
      <c r="I3" s="42" t="s">
        <v>66</v>
      </c>
      <c r="J3" s="42" t="s">
        <v>66</v>
      </c>
      <c r="K3" s="42" t="s">
        <v>66</v>
      </c>
      <c r="L3" s="42" t="s">
        <v>66</v>
      </c>
      <c r="M3" s="42" t="s">
        <v>66</v>
      </c>
      <c r="N3" s="42" t="s">
        <v>66</v>
      </c>
      <c r="O3" s="42" t="s">
        <v>66</v>
      </c>
      <c r="P3" s="42" t="s">
        <v>65</v>
      </c>
      <c r="Q3" s="3">
        <v>160</v>
      </c>
      <c r="R3" s="3">
        <v>0</v>
      </c>
      <c r="S3" s="3">
        <f>50-R3</f>
        <v>50</v>
      </c>
      <c r="T3" s="3">
        <v>100</v>
      </c>
      <c r="U3" s="3">
        <f>T3-R3</f>
        <v>100</v>
      </c>
      <c r="V3" s="3">
        <f>S3/U3</f>
        <v>0.5</v>
      </c>
      <c r="W3" s="3">
        <f>LOG10(2)</f>
        <v>0.3010299956639812</v>
      </c>
      <c r="X3" s="3">
        <f>V3*W3</f>
        <v>0.1505149978319906</v>
      </c>
      <c r="Y3" s="3">
        <f t="shared" ref="Y3:Y32" si="0">LOG10(Q3)</f>
        <v>2.2041199826559246</v>
      </c>
      <c r="Z3" s="3">
        <f>X3+Y3</f>
        <v>2.3546349804879152</v>
      </c>
      <c r="AA3" s="3">
        <f>10^Z3</f>
        <v>226.27416997969516</v>
      </c>
      <c r="AB3" s="3">
        <v>226</v>
      </c>
    </row>
    <row r="4" spans="1:28" x14ac:dyDescent="0.2">
      <c r="A4" s="34"/>
      <c r="B4" s="3">
        <v>2</v>
      </c>
      <c r="C4" s="3" t="s">
        <v>3</v>
      </c>
      <c r="D4" s="3" t="s">
        <v>94</v>
      </c>
      <c r="E4" s="42" t="s">
        <v>67</v>
      </c>
      <c r="F4" s="42" t="s">
        <v>65</v>
      </c>
      <c r="G4" s="42" t="s">
        <v>68</v>
      </c>
      <c r="H4" s="42" t="s">
        <v>66</v>
      </c>
      <c r="I4" s="42" t="s">
        <v>66</v>
      </c>
      <c r="J4" s="42" t="s">
        <v>66</v>
      </c>
      <c r="K4" s="42" t="s">
        <v>66</v>
      </c>
      <c r="L4" s="42" t="s">
        <v>66</v>
      </c>
      <c r="M4" s="42" t="s">
        <v>66</v>
      </c>
      <c r="N4" s="42" t="s">
        <v>66</v>
      </c>
      <c r="O4" s="42" t="s">
        <v>66</v>
      </c>
      <c r="P4" s="42" t="s">
        <v>65</v>
      </c>
      <c r="Q4" s="3">
        <v>40</v>
      </c>
      <c r="R4" s="3">
        <v>0</v>
      </c>
      <c r="S4" s="3">
        <f>50-R4</f>
        <v>50</v>
      </c>
      <c r="T4" s="3">
        <v>75</v>
      </c>
      <c r="U4" s="3">
        <f>T4-R4</f>
        <v>75</v>
      </c>
      <c r="V4" s="3">
        <f>S4/U4</f>
        <v>0.66666666666666663</v>
      </c>
      <c r="W4" s="3">
        <f>LOG10(2)</f>
        <v>0.3010299956639812</v>
      </c>
      <c r="X4" s="3">
        <f>V4*W4</f>
        <v>0.20068666377598746</v>
      </c>
      <c r="Y4" s="3">
        <f t="shared" si="0"/>
        <v>1.6020599913279623</v>
      </c>
      <c r="Z4" s="3">
        <f>X4+Y4</f>
        <v>1.8027466551039497</v>
      </c>
      <c r="AA4" s="3">
        <f>10^Z4</f>
        <v>63.496042078727967</v>
      </c>
      <c r="AB4" s="3">
        <v>64</v>
      </c>
    </row>
    <row r="5" spans="1:28" x14ac:dyDescent="0.2">
      <c r="A5" s="34" t="s">
        <v>69</v>
      </c>
      <c r="B5" s="3">
        <v>3</v>
      </c>
      <c r="C5" s="3" t="s">
        <v>4</v>
      </c>
      <c r="D5" s="3" t="s">
        <v>94</v>
      </c>
      <c r="E5" s="42" t="s">
        <v>65</v>
      </c>
      <c r="F5" s="42" t="s">
        <v>65</v>
      </c>
      <c r="G5" s="42" t="s">
        <v>65</v>
      </c>
      <c r="H5" s="42" t="s">
        <v>65</v>
      </c>
      <c r="I5" s="42" t="s">
        <v>65</v>
      </c>
      <c r="J5" s="42" t="s">
        <v>70</v>
      </c>
      <c r="K5" s="42" t="s">
        <v>66</v>
      </c>
      <c r="L5" s="42" t="s">
        <v>66</v>
      </c>
      <c r="M5" s="42" t="s">
        <v>66</v>
      </c>
      <c r="N5" s="42" t="s">
        <v>66</v>
      </c>
      <c r="O5" s="42" t="s">
        <v>66</v>
      </c>
      <c r="P5" s="42" t="s">
        <v>65</v>
      </c>
      <c r="Q5" s="3">
        <v>640</v>
      </c>
      <c r="R5" s="3">
        <v>25</v>
      </c>
      <c r="S5" s="3">
        <f>50-R5</f>
        <v>25</v>
      </c>
      <c r="T5" s="3">
        <v>100</v>
      </c>
      <c r="U5" s="3">
        <f>T5-R5</f>
        <v>75</v>
      </c>
      <c r="V5" s="3">
        <f>S5/U5</f>
        <v>0.33333333333333331</v>
      </c>
      <c r="W5" s="3">
        <f>LOG10(2)</f>
        <v>0.3010299956639812</v>
      </c>
      <c r="X5" s="3">
        <f>V5*W5</f>
        <v>0.10034333188799373</v>
      </c>
      <c r="Y5" s="3">
        <f t="shared" si="0"/>
        <v>2.8061799739838871</v>
      </c>
      <c r="Z5" s="3">
        <f>X5+Y5</f>
        <v>2.9065233058718807</v>
      </c>
      <c r="AA5" s="3">
        <f>10^Z5</f>
        <v>806.34947193271921</v>
      </c>
      <c r="AB5" s="3">
        <v>806</v>
      </c>
    </row>
    <row r="6" spans="1:28" x14ac:dyDescent="0.2">
      <c r="A6" s="34"/>
      <c r="B6" s="3">
        <v>4</v>
      </c>
      <c r="C6" s="3" t="s">
        <v>5</v>
      </c>
      <c r="D6" s="3" t="s">
        <v>94</v>
      </c>
      <c r="E6" s="42" t="s">
        <v>65</v>
      </c>
      <c r="F6" s="42" t="s">
        <v>68</v>
      </c>
      <c r="G6" s="42" t="s">
        <v>71</v>
      </c>
      <c r="H6" s="42" t="s">
        <v>66</v>
      </c>
      <c r="I6" s="42" t="s">
        <v>66</v>
      </c>
      <c r="J6" s="42" t="s">
        <v>66</v>
      </c>
      <c r="K6" s="42" t="s">
        <v>66</v>
      </c>
      <c r="L6" s="42" t="s">
        <v>66</v>
      </c>
      <c r="M6" s="42" t="s">
        <v>66</v>
      </c>
      <c r="N6" s="42" t="s">
        <v>66</v>
      </c>
      <c r="O6" s="42" t="s">
        <v>66</v>
      </c>
      <c r="P6" s="42" t="s">
        <v>65</v>
      </c>
      <c r="Q6" s="3">
        <v>40</v>
      </c>
      <c r="R6" s="3">
        <v>0</v>
      </c>
      <c r="S6" s="3">
        <f t="shared" ref="S6:S32" si="1">50-R6</f>
        <v>50</v>
      </c>
      <c r="T6" s="3">
        <v>100</v>
      </c>
      <c r="U6" s="3">
        <f t="shared" ref="U6:U32" si="2">T6-R6</f>
        <v>100</v>
      </c>
      <c r="V6" s="3">
        <f t="shared" ref="V6:V32" si="3">S6/U6</f>
        <v>0.5</v>
      </c>
      <c r="W6" s="3">
        <f t="shared" ref="W6:W32" si="4">LOG10(2)</f>
        <v>0.3010299956639812</v>
      </c>
      <c r="X6" s="3">
        <f t="shared" ref="X6:X32" si="5">V6*W6</f>
        <v>0.1505149978319906</v>
      </c>
      <c r="Y6" s="3">
        <f t="shared" si="0"/>
        <v>1.6020599913279623</v>
      </c>
      <c r="Z6" s="3">
        <f t="shared" ref="Z6:Z32" si="6">X6+Y6</f>
        <v>1.7525749891599529</v>
      </c>
      <c r="AA6" s="3">
        <f t="shared" ref="AA6:AA32" si="7">10^Z6</f>
        <v>56.568542494923825</v>
      </c>
      <c r="AB6" s="3">
        <v>57</v>
      </c>
    </row>
    <row r="7" spans="1:28" x14ac:dyDescent="0.2">
      <c r="A7" s="34" t="s">
        <v>72</v>
      </c>
      <c r="B7" s="3">
        <v>5</v>
      </c>
      <c r="C7" s="3" t="s">
        <v>6</v>
      </c>
      <c r="D7" s="3" t="s">
        <v>94</v>
      </c>
      <c r="E7" s="42" t="s">
        <v>65</v>
      </c>
      <c r="F7" s="42" t="s">
        <v>65</v>
      </c>
      <c r="G7" s="42" t="s">
        <v>65</v>
      </c>
      <c r="H7" s="42" t="s">
        <v>71</v>
      </c>
      <c r="I7" s="42" t="s">
        <v>66</v>
      </c>
      <c r="J7" s="42" t="s">
        <v>66</v>
      </c>
      <c r="K7" s="42" t="s">
        <v>66</v>
      </c>
      <c r="L7" s="42" t="s">
        <v>66</v>
      </c>
      <c r="M7" s="42" t="s">
        <v>66</v>
      </c>
      <c r="N7" s="42" t="s">
        <v>66</v>
      </c>
      <c r="O7" s="42" t="s">
        <v>66</v>
      </c>
      <c r="P7" s="42" t="s">
        <v>65</v>
      </c>
      <c r="Q7" s="3">
        <v>160</v>
      </c>
      <c r="R7" s="3">
        <v>50</v>
      </c>
      <c r="S7" s="3">
        <f t="shared" si="1"/>
        <v>0</v>
      </c>
      <c r="T7" s="3">
        <v>100</v>
      </c>
      <c r="U7" s="3">
        <f t="shared" si="2"/>
        <v>50</v>
      </c>
      <c r="V7" s="3">
        <f t="shared" si="3"/>
        <v>0</v>
      </c>
      <c r="W7" s="3">
        <f t="shared" si="4"/>
        <v>0.3010299956639812</v>
      </c>
      <c r="X7" s="3">
        <f t="shared" si="5"/>
        <v>0</v>
      </c>
      <c r="Y7" s="3">
        <f t="shared" si="0"/>
        <v>2.2041199826559246</v>
      </c>
      <c r="Z7" s="3">
        <f t="shared" si="6"/>
        <v>2.2041199826559246</v>
      </c>
      <c r="AA7" s="3">
        <f t="shared" si="7"/>
        <v>159.99999999999994</v>
      </c>
      <c r="AB7" s="3">
        <v>160</v>
      </c>
    </row>
    <row r="8" spans="1:28" x14ac:dyDescent="0.2">
      <c r="A8" s="34"/>
      <c r="B8" s="3">
        <v>6</v>
      </c>
      <c r="C8" s="3" t="s">
        <v>7</v>
      </c>
      <c r="D8" s="3" t="s">
        <v>94</v>
      </c>
      <c r="E8" s="42" t="s">
        <v>65</v>
      </c>
      <c r="F8" s="42" t="s">
        <v>68</v>
      </c>
      <c r="G8" s="42" t="s">
        <v>66</v>
      </c>
      <c r="H8" s="42" t="s">
        <v>66</v>
      </c>
      <c r="I8" s="42" t="s">
        <v>66</v>
      </c>
      <c r="J8" s="42" t="s">
        <v>66</v>
      </c>
      <c r="K8" s="42" t="s">
        <v>66</v>
      </c>
      <c r="L8" s="42" t="s">
        <v>66</v>
      </c>
      <c r="M8" s="42" t="s">
        <v>66</v>
      </c>
      <c r="N8" s="42" t="s">
        <v>66</v>
      </c>
      <c r="O8" s="42" t="s">
        <v>66</v>
      </c>
      <c r="P8" s="42" t="s">
        <v>65</v>
      </c>
      <c r="Q8" s="3">
        <v>40</v>
      </c>
      <c r="R8" s="3">
        <v>50</v>
      </c>
      <c r="S8" s="3">
        <f t="shared" si="1"/>
        <v>0</v>
      </c>
      <c r="T8" s="3">
        <v>100</v>
      </c>
      <c r="U8" s="3">
        <f t="shared" si="2"/>
        <v>50</v>
      </c>
      <c r="V8" s="3">
        <f t="shared" si="3"/>
        <v>0</v>
      </c>
      <c r="W8" s="3">
        <f t="shared" si="4"/>
        <v>0.3010299956639812</v>
      </c>
      <c r="X8" s="3">
        <f t="shared" si="5"/>
        <v>0</v>
      </c>
      <c r="Y8" s="3">
        <f t="shared" si="0"/>
        <v>1.6020599913279623</v>
      </c>
      <c r="Z8" s="3">
        <f t="shared" si="6"/>
        <v>1.6020599913279623</v>
      </c>
      <c r="AA8" s="3">
        <f t="shared" si="7"/>
        <v>40</v>
      </c>
      <c r="AB8" s="3">
        <v>40</v>
      </c>
    </row>
    <row r="9" spans="1:28" x14ac:dyDescent="0.2">
      <c r="A9" s="34" t="s">
        <v>73</v>
      </c>
      <c r="B9" s="3">
        <v>7</v>
      </c>
      <c r="C9" s="3" t="s">
        <v>8</v>
      </c>
      <c r="D9" s="3" t="s">
        <v>94</v>
      </c>
      <c r="E9" s="42" t="s">
        <v>65</v>
      </c>
      <c r="F9" s="42" t="s">
        <v>65</v>
      </c>
      <c r="G9" s="42" t="s">
        <v>65</v>
      </c>
      <c r="H9" s="42" t="s">
        <v>70</v>
      </c>
      <c r="I9" s="42" t="s">
        <v>74</v>
      </c>
      <c r="J9" s="42" t="s">
        <v>66</v>
      </c>
      <c r="K9" s="42" t="s">
        <v>66</v>
      </c>
      <c r="L9" s="42" t="s">
        <v>66</v>
      </c>
      <c r="M9" s="42" t="s">
        <v>66</v>
      </c>
      <c r="N9" s="42" t="s">
        <v>66</v>
      </c>
      <c r="O9" s="42" t="s">
        <v>66</v>
      </c>
      <c r="P9" s="42" t="s">
        <v>65</v>
      </c>
      <c r="Q9" s="3">
        <v>320</v>
      </c>
      <c r="R9" s="3">
        <v>50</v>
      </c>
      <c r="S9" s="3">
        <f t="shared" si="1"/>
        <v>0</v>
      </c>
      <c r="T9" s="3">
        <v>100</v>
      </c>
      <c r="U9" s="3">
        <f t="shared" si="2"/>
        <v>50</v>
      </c>
      <c r="V9" s="3">
        <f t="shared" si="3"/>
        <v>0</v>
      </c>
      <c r="W9" s="3">
        <f t="shared" si="4"/>
        <v>0.3010299956639812</v>
      </c>
      <c r="X9" s="3">
        <f t="shared" si="5"/>
        <v>0</v>
      </c>
      <c r="Y9" s="3">
        <f t="shared" si="0"/>
        <v>2.5051499783199058</v>
      </c>
      <c r="Z9" s="3">
        <f t="shared" si="6"/>
        <v>2.5051499783199058</v>
      </c>
      <c r="AA9" s="3">
        <f t="shared" si="7"/>
        <v>319.99999999999994</v>
      </c>
      <c r="AB9" s="3">
        <v>320</v>
      </c>
    </row>
    <row r="10" spans="1:28" x14ac:dyDescent="0.2">
      <c r="A10" s="34"/>
      <c r="B10" s="3">
        <v>8</v>
      </c>
      <c r="C10" s="3" t="s">
        <v>9</v>
      </c>
      <c r="D10" s="3" t="s">
        <v>94</v>
      </c>
      <c r="E10" s="42" t="s">
        <v>70</v>
      </c>
      <c r="F10" s="42" t="s">
        <v>66</v>
      </c>
      <c r="G10" s="42" t="s">
        <v>66</v>
      </c>
      <c r="H10" s="42" t="s">
        <v>66</v>
      </c>
      <c r="I10" s="42" t="s">
        <v>66</v>
      </c>
      <c r="J10" s="42" t="s">
        <v>66</v>
      </c>
      <c r="K10" s="42" t="s">
        <v>66</v>
      </c>
      <c r="L10" s="42" t="s">
        <v>66</v>
      </c>
      <c r="M10" s="42" t="s">
        <v>66</v>
      </c>
      <c r="N10" s="42" t="s">
        <v>66</v>
      </c>
      <c r="O10" s="42" t="s">
        <v>66</v>
      </c>
      <c r="P10" s="42" t="s">
        <v>65</v>
      </c>
      <c r="Q10" s="3">
        <v>20</v>
      </c>
      <c r="R10" s="3">
        <v>25</v>
      </c>
      <c r="S10" s="3">
        <f t="shared" si="1"/>
        <v>25</v>
      </c>
      <c r="T10" s="3">
        <v>100</v>
      </c>
      <c r="U10" s="3">
        <f t="shared" si="2"/>
        <v>75</v>
      </c>
      <c r="V10" s="3">
        <f t="shared" si="3"/>
        <v>0.33333333333333331</v>
      </c>
      <c r="W10" s="3">
        <f t="shared" si="4"/>
        <v>0.3010299956639812</v>
      </c>
      <c r="X10" s="3">
        <f t="shared" si="5"/>
        <v>0.10034333188799373</v>
      </c>
      <c r="Y10" s="3">
        <f t="shared" si="0"/>
        <v>1.3010299956639813</v>
      </c>
      <c r="Z10" s="3">
        <f t="shared" si="6"/>
        <v>1.4013733275519751</v>
      </c>
      <c r="AA10" s="3">
        <f t="shared" si="7"/>
        <v>25.198420997897475</v>
      </c>
      <c r="AB10" s="3">
        <v>25</v>
      </c>
    </row>
    <row r="11" spans="1:28" x14ac:dyDescent="0.2">
      <c r="A11" s="34" t="s">
        <v>75</v>
      </c>
      <c r="B11" s="3">
        <v>9</v>
      </c>
      <c r="C11" s="3" t="s">
        <v>10</v>
      </c>
      <c r="D11" s="3" t="s">
        <v>94</v>
      </c>
      <c r="E11" s="42" t="s">
        <v>65</v>
      </c>
      <c r="F11" s="42" t="s">
        <v>65</v>
      </c>
      <c r="G11" s="42" t="s">
        <v>65</v>
      </c>
      <c r="H11" s="42" t="s">
        <v>65</v>
      </c>
      <c r="I11" s="42" t="s">
        <v>74</v>
      </c>
      <c r="J11" s="42" t="s">
        <v>76</v>
      </c>
      <c r="K11" s="42" t="s">
        <v>77</v>
      </c>
      <c r="L11" s="42" t="s">
        <v>66</v>
      </c>
      <c r="M11" s="42" t="s">
        <v>66</v>
      </c>
      <c r="N11" s="42" t="s">
        <v>66</v>
      </c>
      <c r="O11" s="42" t="s">
        <v>66</v>
      </c>
      <c r="P11" s="42" t="s">
        <v>65</v>
      </c>
      <c r="Q11" s="3">
        <v>640</v>
      </c>
      <c r="R11" s="3">
        <v>25</v>
      </c>
      <c r="S11" s="3">
        <f t="shared" si="1"/>
        <v>25</v>
      </c>
      <c r="T11" s="3">
        <v>100</v>
      </c>
      <c r="U11" s="3">
        <f t="shared" si="2"/>
        <v>75</v>
      </c>
      <c r="V11" s="3">
        <f t="shared" si="3"/>
        <v>0.33333333333333331</v>
      </c>
      <c r="W11" s="3">
        <f t="shared" si="4"/>
        <v>0.3010299956639812</v>
      </c>
      <c r="X11" s="3">
        <f t="shared" si="5"/>
        <v>0.10034333188799373</v>
      </c>
      <c r="Y11" s="3">
        <f t="shared" si="0"/>
        <v>2.8061799739838871</v>
      </c>
      <c r="Z11" s="3">
        <f t="shared" si="6"/>
        <v>2.9065233058718807</v>
      </c>
      <c r="AA11" s="3">
        <f t="shared" si="7"/>
        <v>806.34947193271921</v>
      </c>
      <c r="AB11" s="3">
        <v>806</v>
      </c>
    </row>
    <row r="12" spans="1:28" x14ac:dyDescent="0.2">
      <c r="A12" s="34"/>
      <c r="B12" s="3">
        <v>10</v>
      </c>
      <c r="C12" s="3" t="s">
        <v>11</v>
      </c>
      <c r="D12" s="3" t="s">
        <v>94</v>
      </c>
      <c r="E12" s="42" t="s">
        <v>65</v>
      </c>
      <c r="F12" s="42" t="s">
        <v>65</v>
      </c>
      <c r="G12" s="42" t="s">
        <v>65</v>
      </c>
      <c r="H12" s="42" t="s">
        <v>76</v>
      </c>
      <c r="I12" s="42" t="s">
        <v>66</v>
      </c>
      <c r="J12" s="42" t="s">
        <v>66</v>
      </c>
      <c r="K12" s="42" t="s">
        <v>66</v>
      </c>
      <c r="L12" s="42" t="s">
        <v>66</v>
      </c>
      <c r="M12" s="42" t="s">
        <v>66</v>
      </c>
      <c r="N12" s="42" t="s">
        <v>66</v>
      </c>
      <c r="O12" s="42" t="s">
        <v>66</v>
      </c>
      <c r="P12" s="42" t="s">
        <v>65</v>
      </c>
      <c r="Q12" s="3">
        <v>160</v>
      </c>
      <c r="R12" s="3">
        <v>25</v>
      </c>
      <c r="S12" s="3">
        <f t="shared" si="1"/>
        <v>25</v>
      </c>
      <c r="T12" s="3">
        <v>100</v>
      </c>
      <c r="U12" s="3">
        <f t="shared" si="2"/>
        <v>75</v>
      </c>
      <c r="V12" s="3">
        <f t="shared" si="3"/>
        <v>0.33333333333333331</v>
      </c>
      <c r="W12" s="3">
        <f t="shared" si="4"/>
        <v>0.3010299956639812</v>
      </c>
      <c r="X12" s="3">
        <f t="shared" si="5"/>
        <v>0.10034333188799373</v>
      </c>
      <c r="Y12" s="3">
        <f t="shared" si="0"/>
        <v>2.2041199826559246</v>
      </c>
      <c r="Z12" s="3">
        <f t="shared" si="6"/>
        <v>2.3044633145439182</v>
      </c>
      <c r="AA12" s="3">
        <f t="shared" si="7"/>
        <v>201.58736798317958</v>
      </c>
      <c r="AB12" s="3">
        <v>202</v>
      </c>
    </row>
    <row r="13" spans="1:28" x14ac:dyDescent="0.2">
      <c r="A13" s="34" t="s">
        <v>78</v>
      </c>
      <c r="B13" s="3">
        <v>11</v>
      </c>
      <c r="C13" s="3" t="s">
        <v>12</v>
      </c>
      <c r="D13" s="3" t="s">
        <v>94</v>
      </c>
      <c r="E13" s="42" t="s">
        <v>67</v>
      </c>
      <c r="F13" s="42" t="s">
        <v>79</v>
      </c>
      <c r="G13" s="42" t="s">
        <v>66</v>
      </c>
      <c r="H13" s="42" t="s">
        <v>66</v>
      </c>
      <c r="I13" s="42" t="s">
        <v>66</v>
      </c>
      <c r="J13" s="42" t="s">
        <v>66</v>
      </c>
      <c r="K13" s="42" t="s">
        <v>66</v>
      </c>
      <c r="L13" s="42" t="s">
        <v>66</v>
      </c>
      <c r="M13" s="42" t="s">
        <v>66</v>
      </c>
      <c r="N13" s="42" t="s">
        <v>66</v>
      </c>
      <c r="O13" s="42" t="s">
        <v>66</v>
      </c>
      <c r="P13" s="42" t="s">
        <v>65</v>
      </c>
      <c r="Q13" s="3">
        <v>20</v>
      </c>
      <c r="R13" s="3">
        <v>0</v>
      </c>
      <c r="S13" s="3">
        <f t="shared" si="1"/>
        <v>50</v>
      </c>
      <c r="T13" s="3">
        <v>75</v>
      </c>
      <c r="U13" s="3">
        <f t="shared" si="2"/>
        <v>75</v>
      </c>
      <c r="V13" s="3">
        <f t="shared" si="3"/>
        <v>0.66666666666666663</v>
      </c>
      <c r="W13" s="3">
        <f t="shared" si="4"/>
        <v>0.3010299956639812</v>
      </c>
      <c r="X13" s="3">
        <f t="shared" si="5"/>
        <v>0.20068666377598746</v>
      </c>
      <c r="Y13" s="3">
        <f t="shared" si="0"/>
        <v>1.3010299956639813</v>
      </c>
      <c r="Z13" s="3">
        <f t="shared" si="6"/>
        <v>1.5017166594399687</v>
      </c>
      <c r="AA13" s="3">
        <f t="shared" si="7"/>
        <v>31.748021039363998</v>
      </c>
      <c r="AB13" s="3">
        <v>32</v>
      </c>
    </row>
    <row r="14" spans="1:28" x14ac:dyDescent="0.2">
      <c r="A14" s="34"/>
      <c r="B14" s="3">
        <v>12</v>
      </c>
      <c r="C14" s="3" t="s">
        <v>13</v>
      </c>
      <c r="D14" s="3" t="s">
        <v>94</v>
      </c>
      <c r="E14" s="42" t="s">
        <v>65</v>
      </c>
      <c r="F14" s="42" t="s">
        <v>65</v>
      </c>
      <c r="G14" s="42" t="s">
        <v>80</v>
      </c>
      <c r="H14" s="42" t="s">
        <v>66</v>
      </c>
      <c r="I14" s="42" t="s">
        <v>66</v>
      </c>
      <c r="J14" s="42" t="s">
        <v>66</v>
      </c>
      <c r="K14" s="42" t="s">
        <v>66</v>
      </c>
      <c r="L14" s="42" t="s">
        <v>66</v>
      </c>
      <c r="M14" s="42" t="s">
        <v>66</v>
      </c>
      <c r="N14" s="42" t="s">
        <v>66</v>
      </c>
      <c r="O14" s="42" t="s">
        <v>66</v>
      </c>
      <c r="P14" s="42" t="s">
        <v>65</v>
      </c>
      <c r="Q14" s="3">
        <v>80</v>
      </c>
      <c r="R14" s="3">
        <v>50</v>
      </c>
      <c r="S14" s="3">
        <f t="shared" si="1"/>
        <v>0</v>
      </c>
      <c r="T14" s="3">
        <v>100</v>
      </c>
      <c r="U14" s="3">
        <f t="shared" si="2"/>
        <v>50</v>
      </c>
      <c r="V14" s="3">
        <f t="shared" si="3"/>
        <v>0</v>
      </c>
      <c r="W14" s="3">
        <f t="shared" si="4"/>
        <v>0.3010299956639812</v>
      </c>
      <c r="X14" s="3">
        <f t="shared" si="5"/>
        <v>0</v>
      </c>
      <c r="Y14" s="3">
        <f t="shared" si="0"/>
        <v>1.9030899869919435</v>
      </c>
      <c r="Z14" s="3">
        <f t="shared" si="6"/>
        <v>1.9030899869919435</v>
      </c>
      <c r="AA14" s="3">
        <f t="shared" si="7"/>
        <v>80.000000000000043</v>
      </c>
      <c r="AB14" s="3">
        <v>80</v>
      </c>
    </row>
    <row r="15" spans="1:28" x14ac:dyDescent="0.2">
      <c r="A15" s="34" t="s">
        <v>81</v>
      </c>
      <c r="B15" s="3">
        <v>13</v>
      </c>
      <c r="C15" s="3" t="s">
        <v>14</v>
      </c>
      <c r="D15" s="3" t="s">
        <v>94</v>
      </c>
      <c r="E15" s="42" t="s">
        <v>65</v>
      </c>
      <c r="F15" s="42" t="s">
        <v>65</v>
      </c>
      <c r="G15" s="42" t="s">
        <v>65</v>
      </c>
      <c r="H15" s="42" t="s">
        <v>65</v>
      </c>
      <c r="I15" s="42" t="s">
        <v>67</v>
      </c>
      <c r="J15" s="42" t="s">
        <v>82</v>
      </c>
      <c r="K15" s="42" t="s">
        <v>66</v>
      </c>
      <c r="L15" s="42" t="s">
        <v>66</v>
      </c>
      <c r="M15" s="42" t="s">
        <v>66</v>
      </c>
      <c r="N15" s="42" t="s">
        <v>66</v>
      </c>
      <c r="O15" s="42" t="s">
        <v>66</v>
      </c>
      <c r="P15" s="42" t="s">
        <v>65</v>
      </c>
      <c r="Q15" s="3">
        <v>320</v>
      </c>
      <c r="R15" s="3">
        <v>0</v>
      </c>
      <c r="S15" s="3">
        <f t="shared" si="1"/>
        <v>50</v>
      </c>
      <c r="T15" s="3">
        <v>100</v>
      </c>
      <c r="U15" s="3">
        <f t="shared" si="2"/>
        <v>100</v>
      </c>
      <c r="V15" s="3">
        <f t="shared" si="3"/>
        <v>0.5</v>
      </c>
      <c r="W15" s="3">
        <f t="shared" si="4"/>
        <v>0.3010299956639812</v>
      </c>
      <c r="X15" s="3">
        <f t="shared" si="5"/>
        <v>0.1505149978319906</v>
      </c>
      <c r="Y15" s="3">
        <f t="shared" si="0"/>
        <v>2.5051499783199058</v>
      </c>
      <c r="Z15" s="3">
        <f t="shared" si="6"/>
        <v>2.6556649761518965</v>
      </c>
      <c r="AA15" s="3">
        <f t="shared" si="7"/>
        <v>452.54833995939072</v>
      </c>
      <c r="AB15" s="3">
        <v>453</v>
      </c>
    </row>
    <row r="16" spans="1:28" x14ac:dyDescent="0.2">
      <c r="A16" s="34"/>
      <c r="B16" s="3">
        <v>14</v>
      </c>
      <c r="C16" s="3" t="s">
        <v>15</v>
      </c>
      <c r="D16" s="3" t="s">
        <v>94</v>
      </c>
      <c r="E16" s="42" t="s">
        <v>76</v>
      </c>
      <c r="F16" s="42" t="s">
        <v>66</v>
      </c>
      <c r="G16" s="42" t="s">
        <v>66</v>
      </c>
      <c r="H16" s="42" t="s">
        <v>66</v>
      </c>
      <c r="I16" s="42" t="s">
        <v>66</v>
      </c>
      <c r="J16" s="42" t="s">
        <v>66</v>
      </c>
      <c r="K16" s="42" t="s">
        <v>66</v>
      </c>
      <c r="L16" s="42" t="s">
        <v>66</v>
      </c>
      <c r="M16" s="42" t="s">
        <v>66</v>
      </c>
      <c r="N16" s="42" t="s">
        <v>66</v>
      </c>
      <c r="O16" s="42" t="s">
        <v>66</v>
      </c>
      <c r="P16" s="42" t="s">
        <v>65</v>
      </c>
      <c r="Q16" s="3">
        <v>20</v>
      </c>
      <c r="R16" s="3">
        <v>25</v>
      </c>
      <c r="S16" s="3">
        <f t="shared" si="1"/>
        <v>25</v>
      </c>
      <c r="T16" s="3">
        <v>100</v>
      </c>
      <c r="U16" s="3">
        <f t="shared" si="2"/>
        <v>75</v>
      </c>
      <c r="V16" s="3">
        <f t="shared" si="3"/>
        <v>0.33333333333333331</v>
      </c>
      <c r="W16" s="3">
        <f t="shared" si="4"/>
        <v>0.3010299956639812</v>
      </c>
      <c r="X16" s="3">
        <f t="shared" si="5"/>
        <v>0.10034333188799373</v>
      </c>
      <c r="Y16" s="3">
        <f t="shared" si="0"/>
        <v>1.3010299956639813</v>
      </c>
      <c r="Z16" s="3">
        <f t="shared" si="6"/>
        <v>1.4013733275519751</v>
      </c>
      <c r="AA16" s="3">
        <f t="shared" si="7"/>
        <v>25.198420997897475</v>
      </c>
      <c r="AB16" s="3">
        <v>25</v>
      </c>
    </row>
    <row r="17" spans="1:28" x14ac:dyDescent="0.2">
      <c r="A17" s="34" t="s">
        <v>83</v>
      </c>
      <c r="B17" s="3">
        <v>15</v>
      </c>
      <c r="C17" s="3" t="s">
        <v>16</v>
      </c>
      <c r="D17" s="3" t="s">
        <v>94</v>
      </c>
      <c r="E17" s="42" t="s">
        <v>65</v>
      </c>
      <c r="F17" s="42" t="s">
        <v>65</v>
      </c>
      <c r="G17" s="42" t="s">
        <v>65</v>
      </c>
      <c r="H17" s="42" t="s">
        <v>65</v>
      </c>
      <c r="I17" s="42" t="s">
        <v>65</v>
      </c>
      <c r="J17" s="42" t="s">
        <v>76</v>
      </c>
      <c r="K17" s="42" t="s">
        <v>66</v>
      </c>
      <c r="L17" s="42" t="s">
        <v>66</v>
      </c>
      <c r="M17" s="42" t="s">
        <v>66</v>
      </c>
      <c r="N17" s="42" t="s">
        <v>66</v>
      </c>
      <c r="O17" s="42" t="s">
        <v>66</v>
      </c>
      <c r="P17" s="42" t="s">
        <v>65</v>
      </c>
      <c r="Q17" s="3">
        <v>640</v>
      </c>
      <c r="R17" s="3">
        <v>25</v>
      </c>
      <c r="S17" s="3">
        <f t="shared" si="1"/>
        <v>25</v>
      </c>
      <c r="T17" s="3">
        <v>100</v>
      </c>
      <c r="U17" s="3">
        <f t="shared" si="2"/>
        <v>75</v>
      </c>
      <c r="V17" s="3">
        <f t="shared" si="3"/>
        <v>0.33333333333333331</v>
      </c>
      <c r="W17" s="3">
        <f t="shared" si="4"/>
        <v>0.3010299956639812</v>
      </c>
      <c r="X17" s="3">
        <f t="shared" si="5"/>
        <v>0.10034333188799373</v>
      </c>
      <c r="Y17" s="3">
        <f t="shared" si="0"/>
        <v>2.8061799739838871</v>
      </c>
      <c r="Z17" s="3">
        <f t="shared" si="6"/>
        <v>2.9065233058718807</v>
      </c>
      <c r="AA17" s="3">
        <f t="shared" si="7"/>
        <v>806.34947193271921</v>
      </c>
      <c r="AB17" s="3">
        <v>806</v>
      </c>
    </row>
    <row r="18" spans="1:28" x14ac:dyDescent="0.2">
      <c r="A18" s="34"/>
      <c r="B18" s="3">
        <v>16</v>
      </c>
      <c r="C18" s="3" t="s">
        <v>17</v>
      </c>
      <c r="D18" s="3" t="s">
        <v>94</v>
      </c>
      <c r="E18" s="42" t="s">
        <v>65</v>
      </c>
      <c r="F18" s="42" t="s">
        <v>65</v>
      </c>
      <c r="G18" s="42" t="s">
        <v>65</v>
      </c>
      <c r="H18" s="42" t="s">
        <v>82</v>
      </c>
      <c r="I18" s="42" t="s">
        <v>66</v>
      </c>
      <c r="J18" s="42" t="s">
        <v>66</v>
      </c>
      <c r="K18" s="42" t="s">
        <v>66</v>
      </c>
      <c r="L18" s="42" t="s">
        <v>66</v>
      </c>
      <c r="M18" s="42" t="s">
        <v>66</v>
      </c>
      <c r="N18" s="42" t="s">
        <v>66</v>
      </c>
      <c r="O18" s="42" t="s">
        <v>66</v>
      </c>
      <c r="P18" s="42" t="s">
        <v>65</v>
      </c>
      <c r="Q18" s="3">
        <v>80</v>
      </c>
      <c r="R18" s="3">
        <v>0</v>
      </c>
      <c r="S18" s="3">
        <f t="shared" si="1"/>
        <v>50</v>
      </c>
      <c r="T18" s="3">
        <v>75</v>
      </c>
      <c r="U18" s="3">
        <f t="shared" si="2"/>
        <v>75</v>
      </c>
      <c r="V18" s="3">
        <f t="shared" si="3"/>
        <v>0.66666666666666663</v>
      </c>
      <c r="W18" s="3">
        <f t="shared" si="4"/>
        <v>0.3010299956639812</v>
      </c>
      <c r="X18" s="3">
        <f t="shared" si="5"/>
        <v>0.20068666377598746</v>
      </c>
      <c r="Y18" s="3">
        <f t="shared" si="0"/>
        <v>1.9030899869919435</v>
      </c>
      <c r="Z18" s="3">
        <f t="shared" si="6"/>
        <v>2.103776650767931</v>
      </c>
      <c r="AA18" s="3">
        <f t="shared" si="7"/>
        <v>126.99208415745595</v>
      </c>
      <c r="AB18" s="3">
        <v>127</v>
      </c>
    </row>
    <row r="19" spans="1:28" x14ac:dyDescent="0.2">
      <c r="A19" s="34" t="s">
        <v>84</v>
      </c>
      <c r="B19" s="3">
        <v>17</v>
      </c>
      <c r="C19" s="3" t="s">
        <v>18</v>
      </c>
      <c r="D19" s="3" t="s">
        <v>94</v>
      </c>
      <c r="E19" s="42" t="s">
        <v>65</v>
      </c>
      <c r="F19" s="42" t="s">
        <v>65</v>
      </c>
      <c r="G19" s="42" t="s">
        <v>65</v>
      </c>
      <c r="H19" s="42" t="s">
        <v>65</v>
      </c>
      <c r="I19" s="42" t="s">
        <v>77</v>
      </c>
      <c r="J19" s="42" t="s">
        <v>66</v>
      </c>
      <c r="K19" s="42" t="s">
        <v>66</v>
      </c>
      <c r="L19" s="42" t="s">
        <v>66</v>
      </c>
      <c r="M19" s="42" t="s">
        <v>66</v>
      </c>
      <c r="N19" s="42" t="s">
        <v>66</v>
      </c>
      <c r="O19" s="42" t="s">
        <v>66</v>
      </c>
      <c r="P19" s="42" t="s">
        <v>65</v>
      </c>
      <c r="Q19" s="3">
        <v>160</v>
      </c>
      <c r="R19" s="3">
        <v>0</v>
      </c>
      <c r="S19" s="3">
        <f t="shared" si="1"/>
        <v>50</v>
      </c>
      <c r="T19" s="3">
        <v>75</v>
      </c>
      <c r="U19" s="3">
        <f t="shared" si="2"/>
        <v>75</v>
      </c>
      <c r="V19" s="3">
        <f t="shared" si="3"/>
        <v>0.66666666666666663</v>
      </c>
      <c r="W19" s="3">
        <f t="shared" si="4"/>
        <v>0.3010299956639812</v>
      </c>
      <c r="X19" s="3">
        <f t="shared" si="5"/>
        <v>0.20068666377598746</v>
      </c>
      <c r="Y19" s="3">
        <f t="shared" si="0"/>
        <v>2.2041199826559246</v>
      </c>
      <c r="Z19" s="3">
        <f t="shared" si="6"/>
        <v>2.4048066464319122</v>
      </c>
      <c r="AA19" s="3">
        <f t="shared" si="7"/>
        <v>253.98416831491193</v>
      </c>
      <c r="AB19" s="3">
        <v>254</v>
      </c>
    </row>
    <row r="20" spans="1:28" x14ac:dyDescent="0.2">
      <c r="A20" s="34"/>
      <c r="B20" s="3">
        <v>18</v>
      </c>
      <c r="C20" s="3" t="s">
        <v>19</v>
      </c>
      <c r="D20" s="3" t="s">
        <v>94</v>
      </c>
      <c r="E20" s="42" t="s">
        <v>65</v>
      </c>
      <c r="F20" s="42" t="s">
        <v>65</v>
      </c>
      <c r="G20" s="42" t="s">
        <v>65</v>
      </c>
      <c r="H20" s="42" t="s">
        <v>65</v>
      </c>
      <c r="I20" s="42" t="s">
        <v>65</v>
      </c>
      <c r="J20" s="42" t="s">
        <v>67</v>
      </c>
      <c r="K20" s="42" t="s">
        <v>66</v>
      </c>
      <c r="L20" s="42" t="s">
        <v>66</v>
      </c>
      <c r="M20" s="42" t="s">
        <v>66</v>
      </c>
      <c r="N20" s="42" t="s">
        <v>66</v>
      </c>
      <c r="O20" s="42" t="s">
        <v>66</v>
      </c>
      <c r="P20" s="42" t="s">
        <v>65</v>
      </c>
      <c r="Q20" s="3">
        <v>640</v>
      </c>
      <c r="R20" s="3">
        <v>25</v>
      </c>
      <c r="S20" s="3">
        <f t="shared" si="1"/>
        <v>25</v>
      </c>
      <c r="T20" s="3">
        <v>100</v>
      </c>
      <c r="U20" s="3">
        <f t="shared" si="2"/>
        <v>75</v>
      </c>
      <c r="V20" s="3">
        <f t="shared" si="3"/>
        <v>0.33333333333333331</v>
      </c>
      <c r="W20" s="3">
        <f t="shared" si="4"/>
        <v>0.3010299956639812</v>
      </c>
      <c r="X20" s="3">
        <f t="shared" si="5"/>
        <v>0.10034333188799373</v>
      </c>
      <c r="Y20" s="3">
        <f t="shared" si="0"/>
        <v>2.8061799739838871</v>
      </c>
      <c r="Z20" s="3">
        <f t="shared" si="6"/>
        <v>2.9065233058718807</v>
      </c>
      <c r="AA20" s="3">
        <f t="shared" si="7"/>
        <v>806.34947193271921</v>
      </c>
      <c r="AB20" s="3">
        <v>806</v>
      </c>
    </row>
    <row r="21" spans="1:28" x14ac:dyDescent="0.2">
      <c r="A21" s="34" t="s">
        <v>85</v>
      </c>
      <c r="B21" s="3">
        <v>19</v>
      </c>
      <c r="C21" s="3" t="s">
        <v>20</v>
      </c>
      <c r="D21" s="3" t="s">
        <v>94</v>
      </c>
      <c r="E21" s="42" t="s">
        <v>65</v>
      </c>
      <c r="F21" s="42" t="s">
        <v>65</v>
      </c>
      <c r="G21" s="42" t="s">
        <v>65</v>
      </c>
      <c r="H21" s="42" t="s">
        <v>65</v>
      </c>
      <c r="I21" s="42" t="s">
        <v>71</v>
      </c>
      <c r="J21" s="42" t="s">
        <v>82</v>
      </c>
      <c r="K21" s="42" t="s">
        <v>66</v>
      </c>
      <c r="L21" s="42" t="s">
        <v>66</v>
      </c>
      <c r="M21" s="42" t="s">
        <v>66</v>
      </c>
      <c r="N21" s="42" t="s">
        <v>66</v>
      </c>
      <c r="O21" s="42" t="s">
        <v>66</v>
      </c>
      <c r="P21" s="42" t="s">
        <v>65</v>
      </c>
      <c r="Q21" s="3">
        <v>320</v>
      </c>
      <c r="R21" s="3">
        <v>25</v>
      </c>
      <c r="S21" s="3">
        <f t="shared" si="1"/>
        <v>25</v>
      </c>
      <c r="T21" s="3">
        <v>100</v>
      </c>
      <c r="U21" s="3">
        <f t="shared" si="2"/>
        <v>75</v>
      </c>
      <c r="V21" s="3">
        <f t="shared" si="3"/>
        <v>0.33333333333333331</v>
      </c>
      <c r="W21" s="3">
        <f t="shared" si="4"/>
        <v>0.3010299956639812</v>
      </c>
      <c r="X21" s="3">
        <f t="shared" si="5"/>
        <v>0.10034333188799373</v>
      </c>
      <c r="Y21" s="3">
        <f t="shared" si="0"/>
        <v>2.5051499783199058</v>
      </c>
      <c r="Z21" s="3">
        <f t="shared" si="6"/>
        <v>2.6054933102078994</v>
      </c>
      <c r="AA21" s="3">
        <f t="shared" si="7"/>
        <v>403.17473596635921</v>
      </c>
      <c r="AB21" s="3">
        <v>403</v>
      </c>
    </row>
    <row r="22" spans="1:28" x14ac:dyDescent="0.2">
      <c r="A22" s="34"/>
      <c r="B22" s="3">
        <v>20</v>
      </c>
      <c r="C22" s="3" t="s">
        <v>21</v>
      </c>
      <c r="D22" s="3" t="s">
        <v>94</v>
      </c>
      <c r="E22" s="42" t="s">
        <v>65</v>
      </c>
      <c r="F22" s="42" t="s">
        <v>65</v>
      </c>
      <c r="G22" s="42" t="s">
        <v>65</v>
      </c>
      <c r="H22" s="42" t="s">
        <v>65</v>
      </c>
      <c r="I22" s="42" t="s">
        <v>77</v>
      </c>
      <c r="J22" s="42" t="s">
        <v>66</v>
      </c>
      <c r="K22" s="42" t="s">
        <v>66</v>
      </c>
      <c r="L22" s="42" t="s">
        <v>66</v>
      </c>
      <c r="M22" s="42" t="s">
        <v>66</v>
      </c>
      <c r="N22" s="42" t="s">
        <v>66</v>
      </c>
      <c r="O22" s="42" t="s">
        <v>66</v>
      </c>
      <c r="P22" s="42" t="s">
        <v>65</v>
      </c>
      <c r="Q22" s="3">
        <v>160</v>
      </c>
      <c r="R22" s="3">
        <v>0</v>
      </c>
      <c r="S22" s="3">
        <f t="shared" si="1"/>
        <v>50</v>
      </c>
      <c r="T22" s="3">
        <v>75</v>
      </c>
      <c r="U22" s="3">
        <f t="shared" si="2"/>
        <v>75</v>
      </c>
      <c r="V22" s="3">
        <f t="shared" si="3"/>
        <v>0.66666666666666663</v>
      </c>
      <c r="W22" s="3">
        <f t="shared" si="4"/>
        <v>0.3010299956639812</v>
      </c>
      <c r="X22" s="3">
        <f t="shared" si="5"/>
        <v>0.20068666377598746</v>
      </c>
      <c r="Y22" s="3">
        <f t="shared" si="0"/>
        <v>2.2041199826559246</v>
      </c>
      <c r="Z22" s="3">
        <f t="shared" si="6"/>
        <v>2.4048066464319122</v>
      </c>
      <c r="AA22" s="3">
        <f t="shared" si="7"/>
        <v>253.98416831491193</v>
      </c>
      <c r="AB22" s="3">
        <v>254</v>
      </c>
    </row>
    <row r="23" spans="1:28" x14ac:dyDescent="0.2">
      <c r="A23" s="34" t="s">
        <v>86</v>
      </c>
      <c r="B23" s="3">
        <v>21</v>
      </c>
      <c r="C23" s="3" t="s">
        <v>22</v>
      </c>
      <c r="D23" s="3" t="s">
        <v>94</v>
      </c>
      <c r="E23" s="42" t="s">
        <v>65</v>
      </c>
      <c r="F23" s="42" t="s">
        <v>65</v>
      </c>
      <c r="G23" s="42" t="s">
        <v>65</v>
      </c>
      <c r="H23" s="42" t="s">
        <v>65</v>
      </c>
      <c r="I23" s="42" t="s">
        <v>87</v>
      </c>
      <c r="J23" s="42" t="s">
        <v>66</v>
      </c>
      <c r="K23" s="42" t="s">
        <v>66</v>
      </c>
      <c r="L23" s="42" t="s">
        <v>66</v>
      </c>
      <c r="M23" s="42" t="s">
        <v>66</v>
      </c>
      <c r="N23" s="42" t="s">
        <v>66</v>
      </c>
      <c r="O23" s="42" t="s">
        <v>66</v>
      </c>
      <c r="P23" s="42" t="s">
        <v>65</v>
      </c>
      <c r="Q23" s="3">
        <v>320</v>
      </c>
      <c r="R23" s="3">
        <v>50</v>
      </c>
      <c r="S23" s="3">
        <f t="shared" si="1"/>
        <v>0</v>
      </c>
      <c r="T23" s="3">
        <v>100</v>
      </c>
      <c r="U23" s="3">
        <f t="shared" si="2"/>
        <v>50</v>
      </c>
      <c r="V23" s="3">
        <f t="shared" si="3"/>
        <v>0</v>
      </c>
      <c r="W23" s="3">
        <f t="shared" si="4"/>
        <v>0.3010299956639812</v>
      </c>
      <c r="X23" s="3">
        <f t="shared" si="5"/>
        <v>0</v>
      </c>
      <c r="Y23" s="3">
        <f t="shared" si="0"/>
        <v>2.5051499783199058</v>
      </c>
      <c r="Z23" s="3">
        <f t="shared" si="6"/>
        <v>2.5051499783199058</v>
      </c>
      <c r="AA23" s="3">
        <f t="shared" si="7"/>
        <v>319.99999999999994</v>
      </c>
      <c r="AB23" s="3">
        <v>320</v>
      </c>
    </row>
    <row r="24" spans="1:28" x14ac:dyDescent="0.2">
      <c r="A24" s="34"/>
      <c r="B24" s="3">
        <v>22</v>
      </c>
      <c r="C24" s="3" t="s">
        <v>23</v>
      </c>
      <c r="D24" s="3" t="s">
        <v>94</v>
      </c>
      <c r="E24" s="42" t="s">
        <v>65</v>
      </c>
      <c r="F24" s="42" t="s">
        <v>65</v>
      </c>
      <c r="G24" s="42" t="s">
        <v>65</v>
      </c>
      <c r="H24" s="42" t="s">
        <v>74</v>
      </c>
      <c r="I24" s="42" t="s">
        <v>66</v>
      </c>
      <c r="J24" s="42" t="s">
        <v>66</v>
      </c>
      <c r="K24" s="42" t="s">
        <v>66</v>
      </c>
      <c r="L24" s="42" t="s">
        <v>66</v>
      </c>
      <c r="M24" s="42" t="s">
        <v>66</v>
      </c>
      <c r="N24" s="42" t="s">
        <v>66</v>
      </c>
      <c r="O24" s="42" t="s">
        <v>66</v>
      </c>
      <c r="P24" s="42" t="s">
        <v>65</v>
      </c>
      <c r="Q24" s="3">
        <v>160</v>
      </c>
      <c r="R24" s="3">
        <v>25</v>
      </c>
      <c r="S24" s="3">
        <f t="shared" si="1"/>
        <v>25</v>
      </c>
      <c r="T24" s="3">
        <v>100</v>
      </c>
      <c r="U24" s="3">
        <f t="shared" si="2"/>
        <v>75</v>
      </c>
      <c r="V24" s="3">
        <f t="shared" si="3"/>
        <v>0.33333333333333331</v>
      </c>
      <c r="W24" s="3">
        <f t="shared" si="4"/>
        <v>0.3010299956639812</v>
      </c>
      <c r="X24" s="3">
        <f t="shared" si="5"/>
        <v>0.10034333188799373</v>
      </c>
      <c r="Y24" s="3">
        <f t="shared" si="0"/>
        <v>2.2041199826559246</v>
      </c>
      <c r="Z24" s="3">
        <f t="shared" si="6"/>
        <v>2.3044633145439182</v>
      </c>
      <c r="AA24" s="3">
        <f t="shared" si="7"/>
        <v>201.58736798317958</v>
      </c>
      <c r="AB24" s="3">
        <v>202</v>
      </c>
    </row>
    <row r="25" spans="1:28" x14ac:dyDescent="0.2">
      <c r="A25" s="34" t="s">
        <v>88</v>
      </c>
      <c r="B25" s="3">
        <v>23</v>
      </c>
      <c r="C25" s="3" t="s">
        <v>24</v>
      </c>
      <c r="D25" s="3" t="s">
        <v>94</v>
      </c>
      <c r="E25" s="42" t="s">
        <v>65</v>
      </c>
      <c r="F25" s="42" t="s">
        <v>65</v>
      </c>
      <c r="G25" s="42" t="s">
        <v>65</v>
      </c>
      <c r="H25" s="42" t="s">
        <v>65</v>
      </c>
      <c r="I25" s="42" t="s">
        <v>65</v>
      </c>
      <c r="J25" s="42" t="s">
        <v>70</v>
      </c>
      <c r="K25" s="42" t="s">
        <v>82</v>
      </c>
      <c r="L25" s="42" t="s">
        <v>66</v>
      </c>
      <c r="M25" s="42" t="s">
        <v>66</v>
      </c>
      <c r="N25" s="42" t="s">
        <v>66</v>
      </c>
      <c r="O25" s="42" t="s">
        <v>66</v>
      </c>
      <c r="P25" s="42" t="s">
        <v>65</v>
      </c>
      <c r="Q25" s="3">
        <v>640</v>
      </c>
      <c r="R25" s="3">
        <v>0</v>
      </c>
      <c r="S25" s="3">
        <f t="shared" si="1"/>
        <v>50</v>
      </c>
      <c r="T25" s="3">
        <v>100</v>
      </c>
      <c r="U25" s="3">
        <f t="shared" si="2"/>
        <v>100</v>
      </c>
      <c r="V25" s="3">
        <f t="shared" si="3"/>
        <v>0.5</v>
      </c>
      <c r="W25" s="3">
        <f t="shared" si="4"/>
        <v>0.3010299956639812</v>
      </c>
      <c r="X25" s="3">
        <f t="shared" si="5"/>
        <v>0.1505149978319906</v>
      </c>
      <c r="Y25" s="3">
        <f t="shared" si="0"/>
        <v>2.8061799739838871</v>
      </c>
      <c r="Z25" s="3">
        <f t="shared" si="6"/>
        <v>2.9566949718158777</v>
      </c>
      <c r="AA25" s="3">
        <f t="shared" si="7"/>
        <v>905.09667991878155</v>
      </c>
      <c r="AB25" s="3">
        <v>905</v>
      </c>
    </row>
    <row r="26" spans="1:28" x14ac:dyDescent="0.2">
      <c r="A26" s="34"/>
      <c r="B26" s="3">
        <v>24</v>
      </c>
      <c r="C26" s="3" t="s">
        <v>25</v>
      </c>
      <c r="D26" s="3" t="s">
        <v>94</v>
      </c>
      <c r="E26" s="42" t="s">
        <v>65</v>
      </c>
      <c r="F26" s="42" t="s">
        <v>65</v>
      </c>
      <c r="G26" s="42" t="s">
        <v>65</v>
      </c>
      <c r="H26" s="42" t="s">
        <v>65</v>
      </c>
      <c r="I26" s="42" t="s">
        <v>77</v>
      </c>
      <c r="J26" s="42" t="s">
        <v>66</v>
      </c>
      <c r="K26" s="42" t="s">
        <v>66</v>
      </c>
      <c r="L26" s="42" t="s">
        <v>66</v>
      </c>
      <c r="M26" s="42" t="s">
        <v>66</v>
      </c>
      <c r="N26" s="42" t="s">
        <v>66</v>
      </c>
      <c r="O26" s="42" t="s">
        <v>66</v>
      </c>
      <c r="P26" s="42" t="s">
        <v>65</v>
      </c>
      <c r="Q26" s="3">
        <v>160</v>
      </c>
      <c r="R26" s="3">
        <v>0</v>
      </c>
      <c r="S26" s="3">
        <f t="shared" si="1"/>
        <v>50</v>
      </c>
      <c r="T26" s="3">
        <v>75</v>
      </c>
      <c r="U26" s="3">
        <f t="shared" si="2"/>
        <v>75</v>
      </c>
      <c r="V26" s="3">
        <f t="shared" si="3"/>
        <v>0.66666666666666663</v>
      </c>
      <c r="W26" s="3">
        <f t="shared" si="4"/>
        <v>0.3010299956639812</v>
      </c>
      <c r="X26" s="3">
        <f t="shared" si="5"/>
        <v>0.20068666377598746</v>
      </c>
      <c r="Y26" s="3">
        <f t="shared" si="0"/>
        <v>2.2041199826559246</v>
      </c>
      <c r="Z26" s="3">
        <f t="shared" si="6"/>
        <v>2.4048066464319122</v>
      </c>
      <c r="AA26" s="3">
        <f t="shared" si="7"/>
        <v>253.98416831491193</v>
      </c>
      <c r="AB26" s="3">
        <v>254</v>
      </c>
    </row>
    <row r="27" spans="1:28" x14ac:dyDescent="0.2">
      <c r="A27" s="34" t="s">
        <v>89</v>
      </c>
      <c r="B27" s="3">
        <v>25</v>
      </c>
      <c r="C27" s="3" t="s">
        <v>26</v>
      </c>
      <c r="D27" s="3" t="s">
        <v>94</v>
      </c>
      <c r="E27" s="42" t="s">
        <v>65</v>
      </c>
      <c r="F27" s="42" t="s">
        <v>65</v>
      </c>
      <c r="G27" s="42" t="s">
        <v>65</v>
      </c>
      <c r="H27" s="42" t="s">
        <v>65</v>
      </c>
      <c r="I27" s="42" t="s">
        <v>65</v>
      </c>
      <c r="J27" s="42" t="s">
        <v>82</v>
      </c>
      <c r="K27" s="42" t="s">
        <v>66</v>
      </c>
      <c r="L27" s="42" t="s">
        <v>66</v>
      </c>
      <c r="M27" s="42" t="s">
        <v>66</v>
      </c>
      <c r="N27" s="42" t="s">
        <v>66</v>
      </c>
      <c r="O27" s="42" t="s">
        <v>66</v>
      </c>
      <c r="P27" s="42" t="s">
        <v>65</v>
      </c>
      <c r="Q27" s="3">
        <v>320</v>
      </c>
      <c r="R27" s="3">
        <v>0</v>
      </c>
      <c r="S27" s="3">
        <f t="shared" si="1"/>
        <v>50</v>
      </c>
      <c r="T27" s="3">
        <v>75</v>
      </c>
      <c r="U27" s="3">
        <f t="shared" si="2"/>
        <v>75</v>
      </c>
      <c r="V27" s="3">
        <f t="shared" si="3"/>
        <v>0.66666666666666663</v>
      </c>
      <c r="W27" s="3">
        <f t="shared" si="4"/>
        <v>0.3010299956639812</v>
      </c>
      <c r="X27" s="3">
        <f t="shared" si="5"/>
        <v>0.20068666377598746</v>
      </c>
      <c r="Y27" s="3">
        <f t="shared" si="0"/>
        <v>2.5051499783199058</v>
      </c>
      <c r="Z27" s="3">
        <f t="shared" si="6"/>
        <v>2.7058366420958935</v>
      </c>
      <c r="AA27" s="3">
        <f t="shared" si="7"/>
        <v>507.96833662982436</v>
      </c>
      <c r="AB27" s="3">
        <v>508</v>
      </c>
    </row>
    <row r="28" spans="1:28" x14ac:dyDescent="0.2">
      <c r="A28" s="34"/>
      <c r="B28" s="3">
        <v>26</v>
      </c>
      <c r="C28" s="3" t="s">
        <v>27</v>
      </c>
      <c r="D28" s="3" t="s">
        <v>94</v>
      </c>
      <c r="E28" s="42" t="s">
        <v>65</v>
      </c>
      <c r="F28" s="42" t="s">
        <v>65</v>
      </c>
      <c r="G28" s="42" t="s">
        <v>65</v>
      </c>
      <c r="H28" s="42" t="s">
        <v>65</v>
      </c>
      <c r="I28" s="42" t="s">
        <v>65</v>
      </c>
      <c r="J28" s="42" t="s">
        <v>90</v>
      </c>
      <c r="K28" s="42" t="s">
        <v>91</v>
      </c>
      <c r="L28" s="42" t="s">
        <v>66</v>
      </c>
      <c r="M28" s="42" t="s">
        <v>66</v>
      </c>
      <c r="N28" s="42" t="s">
        <v>66</v>
      </c>
      <c r="O28" s="42" t="s">
        <v>66</v>
      </c>
      <c r="P28" s="42" t="s">
        <v>65</v>
      </c>
      <c r="Q28" s="3">
        <v>640</v>
      </c>
      <c r="R28" s="3">
        <v>50</v>
      </c>
      <c r="S28" s="3">
        <f t="shared" si="1"/>
        <v>0</v>
      </c>
      <c r="T28" s="3">
        <v>100</v>
      </c>
      <c r="U28" s="3">
        <f t="shared" si="2"/>
        <v>50</v>
      </c>
      <c r="V28" s="3">
        <f t="shared" si="3"/>
        <v>0</v>
      </c>
      <c r="W28" s="3">
        <f t="shared" si="4"/>
        <v>0.3010299956639812</v>
      </c>
      <c r="X28" s="3">
        <f t="shared" si="5"/>
        <v>0</v>
      </c>
      <c r="Y28" s="3">
        <f t="shared" si="0"/>
        <v>2.8061799739838871</v>
      </c>
      <c r="Z28" s="3">
        <f t="shared" si="6"/>
        <v>2.8061799739838871</v>
      </c>
      <c r="AA28" s="3">
        <f t="shared" si="7"/>
        <v>640.00000000000045</v>
      </c>
      <c r="AB28" s="3">
        <v>640</v>
      </c>
    </row>
    <row r="29" spans="1:28" x14ac:dyDescent="0.2">
      <c r="A29" s="34" t="s">
        <v>92</v>
      </c>
      <c r="B29" s="3">
        <v>27</v>
      </c>
      <c r="C29" s="3" t="s">
        <v>28</v>
      </c>
      <c r="D29" s="3" t="s">
        <v>94</v>
      </c>
      <c r="E29" s="42" t="s">
        <v>65</v>
      </c>
      <c r="F29" s="42" t="s">
        <v>65</v>
      </c>
      <c r="G29" s="42" t="s">
        <v>65</v>
      </c>
      <c r="H29" s="42" t="s">
        <v>76</v>
      </c>
      <c r="I29" s="42" t="s">
        <v>66</v>
      </c>
      <c r="J29" s="42" t="s">
        <v>66</v>
      </c>
      <c r="K29" s="42" t="s">
        <v>66</v>
      </c>
      <c r="L29" s="42" t="s">
        <v>66</v>
      </c>
      <c r="M29" s="42" t="s">
        <v>66</v>
      </c>
      <c r="N29" s="42" t="s">
        <v>66</v>
      </c>
      <c r="O29" s="42" t="s">
        <v>66</v>
      </c>
      <c r="P29" s="42" t="s">
        <v>65</v>
      </c>
      <c r="Q29" s="3">
        <v>160</v>
      </c>
      <c r="R29" s="3">
        <v>25</v>
      </c>
      <c r="S29" s="3">
        <f t="shared" si="1"/>
        <v>25</v>
      </c>
      <c r="T29" s="3">
        <v>100</v>
      </c>
      <c r="U29" s="3">
        <f t="shared" si="2"/>
        <v>75</v>
      </c>
      <c r="V29" s="3">
        <f t="shared" si="3"/>
        <v>0.33333333333333331</v>
      </c>
      <c r="W29" s="3">
        <f t="shared" si="4"/>
        <v>0.3010299956639812</v>
      </c>
      <c r="X29" s="3">
        <f t="shared" si="5"/>
        <v>0.10034333188799373</v>
      </c>
      <c r="Y29" s="3">
        <f t="shared" si="0"/>
        <v>2.2041199826559246</v>
      </c>
      <c r="Z29" s="3">
        <f t="shared" si="6"/>
        <v>2.3044633145439182</v>
      </c>
      <c r="AA29" s="3">
        <f t="shared" si="7"/>
        <v>201.58736798317958</v>
      </c>
      <c r="AB29" s="3">
        <v>202</v>
      </c>
    </row>
    <row r="30" spans="1:28" x14ac:dyDescent="0.2">
      <c r="A30" s="34"/>
      <c r="B30" s="3">
        <v>28</v>
      </c>
      <c r="C30" s="3" t="s">
        <v>29</v>
      </c>
      <c r="D30" s="3" t="s">
        <v>94</v>
      </c>
      <c r="E30" s="42" t="s">
        <v>65</v>
      </c>
      <c r="F30" s="42" t="s">
        <v>65</v>
      </c>
      <c r="G30" s="42" t="s">
        <v>65</v>
      </c>
      <c r="H30" s="42" t="s">
        <v>65</v>
      </c>
      <c r="I30" s="42" t="s">
        <v>70</v>
      </c>
      <c r="J30" s="42" t="s">
        <v>87</v>
      </c>
      <c r="K30" s="42" t="s">
        <v>82</v>
      </c>
      <c r="L30" s="42" t="s">
        <v>66</v>
      </c>
      <c r="M30" s="42" t="s">
        <v>66</v>
      </c>
      <c r="N30" s="42" t="s">
        <v>66</v>
      </c>
      <c r="O30" s="42" t="s">
        <v>66</v>
      </c>
      <c r="P30" s="42" t="s">
        <v>65</v>
      </c>
      <c r="Q30" s="3">
        <v>640</v>
      </c>
      <c r="R30" s="3">
        <v>50</v>
      </c>
      <c r="S30" s="3">
        <f t="shared" si="1"/>
        <v>0</v>
      </c>
      <c r="T30" s="3">
        <v>100</v>
      </c>
      <c r="U30" s="3">
        <f t="shared" si="2"/>
        <v>50</v>
      </c>
      <c r="V30" s="3">
        <f t="shared" si="3"/>
        <v>0</v>
      </c>
      <c r="W30" s="3">
        <f t="shared" si="4"/>
        <v>0.3010299956639812</v>
      </c>
      <c r="X30" s="3">
        <f t="shared" si="5"/>
        <v>0</v>
      </c>
      <c r="Y30" s="3">
        <f t="shared" si="0"/>
        <v>2.8061799739838871</v>
      </c>
      <c r="Z30" s="3">
        <f t="shared" si="6"/>
        <v>2.8061799739838871</v>
      </c>
      <c r="AA30" s="3">
        <f t="shared" si="7"/>
        <v>640.00000000000045</v>
      </c>
      <c r="AB30" s="3">
        <v>640</v>
      </c>
    </row>
    <row r="31" spans="1:28" x14ac:dyDescent="0.2">
      <c r="A31" s="34" t="s">
        <v>93</v>
      </c>
      <c r="B31" s="3">
        <v>29</v>
      </c>
      <c r="C31" s="3" t="s">
        <v>30</v>
      </c>
      <c r="D31" s="3" t="s">
        <v>94</v>
      </c>
      <c r="E31" s="42" t="s">
        <v>66</v>
      </c>
      <c r="F31" s="42" t="s">
        <v>66</v>
      </c>
      <c r="G31" s="42" t="s">
        <v>66</v>
      </c>
      <c r="H31" s="42" t="s">
        <v>66</v>
      </c>
      <c r="I31" s="42" t="s">
        <v>66</v>
      </c>
      <c r="J31" s="42" t="s">
        <v>66</v>
      </c>
      <c r="K31" s="42" t="s">
        <v>66</v>
      </c>
      <c r="L31" s="42" t="s">
        <v>66</v>
      </c>
      <c r="M31" s="42" t="s">
        <v>66</v>
      </c>
      <c r="N31" s="42" t="s">
        <v>66</v>
      </c>
      <c r="O31" s="42" t="s">
        <v>66</v>
      </c>
      <c r="P31" s="42" t="s">
        <v>65</v>
      </c>
      <c r="Q31" s="3">
        <v>10</v>
      </c>
      <c r="R31" s="3">
        <v>0</v>
      </c>
      <c r="S31" s="3">
        <f t="shared" si="1"/>
        <v>50</v>
      </c>
      <c r="T31" s="3">
        <v>100</v>
      </c>
      <c r="U31" s="3">
        <f t="shared" si="2"/>
        <v>100</v>
      </c>
      <c r="V31" s="3">
        <f t="shared" si="3"/>
        <v>0.5</v>
      </c>
      <c r="W31" s="3">
        <f t="shared" si="4"/>
        <v>0.3010299956639812</v>
      </c>
      <c r="X31" s="3">
        <f t="shared" si="5"/>
        <v>0.1505149978319906</v>
      </c>
      <c r="Y31" s="3">
        <f t="shared" si="0"/>
        <v>1</v>
      </c>
      <c r="Z31" s="3">
        <f t="shared" si="6"/>
        <v>1.1505149978319906</v>
      </c>
      <c r="AA31" s="3">
        <f t="shared" si="7"/>
        <v>14.142135623730955</v>
      </c>
      <c r="AB31" s="3" t="s">
        <v>116</v>
      </c>
    </row>
    <row r="32" spans="1:28" x14ac:dyDescent="0.2">
      <c r="A32" s="34"/>
      <c r="B32" s="3">
        <v>30</v>
      </c>
      <c r="C32" s="3" t="s">
        <v>31</v>
      </c>
      <c r="D32" s="3" t="s">
        <v>94</v>
      </c>
      <c r="E32" s="42" t="s">
        <v>66</v>
      </c>
      <c r="F32" s="42" t="s">
        <v>66</v>
      </c>
      <c r="G32" s="42" t="s">
        <v>66</v>
      </c>
      <c r="H32" s="42" t="s">
        <v>66</v>
      </c>
      <c r="I32" s="42" t="s">
        <v>66</v>
      </c>
      <c r="J32" s="42" t="s">
        <v>66</v>
      </c>
      <c r="K32" s="42" t="s">
        <v>66</v>
      </c>
      <c r="L32" s="42" t="s">
        <v>66</v>
      </c>
      <c r="M32" s="42" t="s">
        <v>66</v>
      </c>
      <c r="N32" s="42" t="s">
        <v>66</v>
      </c>
      <c r="O32" s="42" t="s">
        <v>66</v>
      </c>
      <c r="P32" s="42" t="s">
        <v>65</v>
      </c>
      <c r="Q32" s="3">
        <v>10</v>
      </c>
      <c r="R32" s="3">
        <v>0</v>
      </c>
      <c r="S32" s="3">
        <f t="shared" si="1"/>
        <v>50</v>
      </c>
      <c r="T32" s="3">
        <v>100</v>
      </c>
      <c r="U32" s="3">
        <f t="shared" si="2"/>
        <v>100</v>
      </c>
      <c r="V32" s="3">
        <f t="shared" si="3"/>
        <v>0.5</v>
      </c>
      <c r="W32" s="3">
        <f t="shared" si="4"/>
        <v>0.3010299956639812</v>
      </c>
      <c r="X32" s="3">
        <f t="shared" si="5"/>
        <v>0.1505149978319906</v>
      </c>
      <c r="Y32" s="3">
        <f t="shared" si="0"/>
        <v>1</v>
      </c>
      <c r="Z32" s="3">
        <f t="shared" si="6"/>
        <v>1.1505149978319906</v>
      </c>
      <c r="AA32" s="3">
        <f t="shared" si="7"/>
        <v>14.142135623730955</v>
      </c>
      <c r="AB32" s="3" t="s">
        <v>116</v>
      </c>
    </row>
  </sheetData>
  <mergeCells count="15">
    <mergeCell ref="A25:A26"/>
    <mergeCell ref="A27:A28"/>
    <mergeCell ref="A29:A30"/>
    <mergeCell ref="A31:A32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2D7DB-E652-461D-9391-6933BD76DC46}">
  <dimension ref="A1:AB32"/>
  <sheetViews>
    <sheetView zoomScale="85" zoomScaleNormal="85" workbookViewId="0">
      <selection activeCell="H63" sqref="H63"/>
    </sheetView>
  </sheetViews>
  <sheetFormatPr defaultRowHeight="15" x14ac:dyDescent="0.2"/>
  <cols>
    <col min="1" max="2" width="9" style="3"/>
    <col min="3" max="3" width="24.625" style="3" bestFit="1" customWidth="1"/>
    <col min="4" max="4" width="13.375" style="3" bestFit="1" customWidth="1"/>
    <col min="5" max="16384" width="9" style="3"/>
  </cols>
  <sheetData>
    <row r="1" spans="1:28" s="35" customFormat="1" ht="30" x14ac:dyDescent="0.2">
      <c r="A1" s="35" t="s">
        <v>58</v>
      </c>
      <c r="B1" s="35" t="s">
        <v>59</v>
      </c>
      <c r="C1" s="35" t="s">
        <v>60</v>
      </c>
      <c r="D1" s="35" t="s">
        <v>61</v>
      </c>
      <c r="E1" s="35">
        <v>20</v>
      </c>
      <c r="F1" s="35">
        <v>40</v>
      </c>
      <c r="G1" s="35">
        <v>80</v>
      </c>
      <c r="H1" s="35">
        <v>160</v>
      </c>
      <c r="I1" s="35">
        <v>320</v>
      </c>
      <c r="J1" s="35">
        <v>640</v>
      </c>
      <c r="K1" s="35">
        <v>1280</v>
      </c>
      <c r="L1" s="35">
        <v>2560</v>
      </c>
      <c r="M1" s="35">
        <v>5120</v>
      </c>
      <c r="N1" s="35">
        <v>10240</v>
      </c>
      <c r="O1" s="35" t="s">
        <v>62</v>
      </c>
      <c r="P1" s="35" t="s">
        <v>63</v>
      </c>
      <c r="Q1" s="36" t="s">
        <v>95</v>
      </c>
      <c r="R1" s="36" t="s">
        <v>96</v>
      </c>
      <c r="S1" s="37" t="s">
        <v>97</v>
      </c>
      <c r="T1" s="36" t="s">
        <v>98</v>
      </c>
      <c r="U1" s="37" t="s">
        <v>99</v>
      </c>
      <c r="V1" s="37" t="s">
        <v>100</v>
      </c>
      <c r="W1" s="37" t="s">
        <v>101</v>
      </c>
      <c r="X1" s="37" t="s">
        <v>102</v>
      </c>
      <c r="Y1" s="37" t="s">
        <v>103</v>
      </c>
      <c r="Z1" s="37" t="s">
        <v>104</v>
      </c>
      <c r="AA1" s="37" t="s">
        <v>105</v>
      </c>
      <c r="AB1" s="38" t="s">
        <v>106</v>
      </c>
    </row>
    <row r="2" spans="1:28" s="39" customFormat="1" ht="30" x14ac:dyDescent="0.2">
      <c r="E2" s="39">
        <v>1</v>
      </c>
      <c r="F2" s="39">
        <v>2</v>
      </c>
      <c r="G2" s="39">
        <v>3</v>
      </c>
      <c r="H2" s="39">
        <v>4</v>
      </c>
      <c r="I2" s="39">
        <v>5</v>
      </c>
      <c r="J2" s="39">
        <v>6</v>
      </c>
      <c r="K2" s="39">
        <v>7</v>
      </c>
      <c r="L2" s="39">
        <v>8</v>
      </c>
      <c r="M2" s="39">
        <v>9</v>
      </c>
      <c r="N2" s="39">
        <v>10</v>
      </c>
      <c r="O2" s="39">
        <v>11</v>
      </c>
      <c r="P2" s="39">
        <v>12</v>
      </c>
      <c r="Q2" s="36" t="s">
        <v>107</v>
      </c>
      <c r="R2" s="36" t="s">
        <v>108</v>
      </c>
      <c r="S2" s="37" t="s">
        <v>109</v>
      </c>
      <c r="T2" s="36" t="s">
        <v>110</v>
      </c>
      <c r="U2" s="37" t="s">
        <v>111</v>
      </c>
      <c r="V2" s="37" t="s">
        <v>112</v>
      </c>
      <c r="W2" s="37" t="s">
        <v>113</v>
      </c>
      <c r="X2" s="37" t="s">
        <v>114</v>
      </c>
      <c r="Y2" s="37" t="s">
        <v>115</v>
      </c>
      <c r="Z2" s="40"/>
      <c r="AA2" s="40"/>
      <c r="AB2" s="41"/>
    </row>
    <row r="3" spans="1:28" x14ac:dyDescent="0.2">
      <c r="A3" s="34" t="s">
        <v>64</v>
      </c>
      <c r="B3" s="3">
        <v>1</v>
      </c>
      <c r="C3" s="3" t="s">
        <v>2</v>
      </c>
      <c r="D3" s="3" t="s">
        <v>94</v>
      </c>
      <c r="E3" s="42" t="s">
        <v>65</v>
      </c>
      <c r="F3" s="42" t="s">
        <v>65</v>
      </c>
      <c r="G3" s="42" t="s">
        <v>65</v>
      </c>
      <c r="H3" s="42" t="s">
        <v>65</v>
      </c>
      <c r="I3" s="42" t="s">
        <v>65</v>
      </c>
      <c r="J3" s="42" t="s">
        <v>66</v>
      </c>
      <c r="K3" s="42" t="s">
        <v>66</v>
      </c>
      <c r="L3" s="42" t="s">
        <v>66</v>
      </c>
      <c r="M3" s="42" t="s">
        <v>66</v>
      </c>
      <c r="N3" s="42" t="s">
        <v>66</v>
      </c>
      <c r="O3" s="42" t="s">
        <v>66</v>
      </c>
      <c r="P3" s="42" t="s">
        <v>65</v>
      </c>
      <c r="Q3" s="3">
        <v>320</v>
      </c>
      <c r="R3" s="3">
        <v>0</v>
      </c>
      <c r="S3" s="3">
        <f>50-R3</f>
        <v>50</v>
      </c>
      <c r="T3" s="3">
        <v>100</v>
      </c>
      <c r="U3" s="3">
        <f>T3-R3</f>
        <v>100</v>
      </c>
      <c r="V3" s="3">
        <f>S3/U3</f>
        <v>0.5</v>
      </c>
      <c r="W3" s="3">
        <f>LOG10(2)</f>
        <v>0.3010299956639812</v>
      </c>
      <c r="X3" s="3">
        <f>V3*W3</f>
        <v>0.1505149978319906</v>
      </c>
      <c r="Y3" s="3">
        <f t="shared" ref="Y3:Y32" si="0">LOG10(Q3)</f>
        <v>2.5051499783199058</v>
      </c>
      <c r="Z3" s="3">
        <f>X3+Y3</f>
        <v>2.6556649761518965</v>
      </c>
      <c r="AA3" s="3">
        <f>10^Z3</f>
        <v>452.54833995939072</v>
      </c>
      <c r="AB3" s="3">
        <v>453</v>
      </c>
    </row>
    <row r="4" spans="1:28" x14ac:dyDescent="0.2">
      <c r="A4" s="34"/>
      <c r="B4" s="3">
        <v>2</v>
      </c>
      <c r="C4" s="3" t="s">
        <v>3</v>
      </c>
      <c r="D4" s="3" t="s">
        <v>94</v>
      </c>
      <c r="E4" s="42" t="s">
        <v>65</v>
      </c>
      <c r="F4" s="42" t="s">
        <v>79</v>
      </c>
      <c r="G4" s="42" t="s">
        <v>66</v>
      </c>
      <c r="H4" s="42" t="s">
        <v>66</v>
      </c>
      <c r="I4" s="42" t="s">
        <v>66</v>
      </c>
      <c r="J4" s="42" t="s">
        <v>66</v>
      </c>
      <c r="K4" s="42" t="s">
        <v>66</v>
      </c>
      <c r="L4" s="42" t="s">
        <v>66</v>
      </c>
      <c r="M4" s="42" t="s">
        <v>66</v>
      </c>
      <c r="N4" s="42" t="s">
        <v>66</v>
      </c>
      <c r="O4" s="42" t="s">
        <v>66</v>
      </c>
      <c r="P4" s="42" t="s">
        <v>65</v>
      </c>
      <c r="Q4" s="3">
        <v>40</v>
      </c>
      <c r="R4" s="3">
        <v>50</v>
      </c>
      <c r="S4" s="3">
        <f>50-R4</f>
        <v>0</v>
      </c>
      <c r="T4" s="3">
        <v>100</v>
      </c>
      <c r="U4" s="3">
        <f>T4-R4</f>
        <v>50</v>
      </c>
      <c r="V4" s="3">
        <f>S4/U4</f>
        <v>0</v>
      </c>
      <c r="W4" s="3">
        <f>LOG10(2)</f>
        <v>0.3010299956639812</v>
      </c>
      <c r="X4" s="3">
        <f>V4*W4</f>
        <v>0</v>
      </c>
      <c r="Y4" s="3">
        <f t="shared" si="0"/>
        <v>1.6020599913279623</v>
      </c>
      <c r="Z4" s="3">
        <f>X4+Y4</f>
        <v>1.6020599913279623</v>
      </c>
      <c r="AA4" s="3">
        <f>10^Z4</f>
        <v>40</v>
      </c>
      <c r="AB4" s="3">
        <v>40</v>
      </c>
    </row>
    <row r="5" spans="1:28" x14ac:dyDescent="0.2">
      <c r="A5" s="34" t="s">
        <v>69</v>
      </c>
      <c r="B5" s="3">
        <v>3</v>
      </c>
      <c r="C5" s="3" t="s">
        <v>4</v>
      </c>
      <c r="D5" s="3" t="s">
        <v>94</v>
      </c>
      <c r="E5" s="42" t="s">
        <v>65</v>
      </c>
      <c r="F5" s="42" t="s">
        <v>65</v>
      </c>
      <c r="G5" s="42" t="s">
        <v>65</v>
      </c>
      <c r="H5" s="42" t="s">
        <v>65</v>
      </c>
      <c r="I5" s="42" t="s">
        <v>65</v>
      </c>
      <c r="J5" s="42" t="s">
        <v>79</v>
      </c>
      <c r="K5" s="42" t="s">
        <v>66</v>
      </c>
      <c r="L5" s="42" t="s">
        <v>66</v>
      </c>
      <c r="M5" s="42" t="s">
        <v>66</v>
      </c>
      <c r="N5" s="42" t="s">
        <v>66</v>
      </c>
      <c r="O5" s="42" t="s">
        <v>66</v>
      </c>
      <c r="P5" s="42" t="s">
        <v>65</v>
      </c>
      <c r="Q5" s="3">
        <v>640</v>
      </c>
      <c r="R5" s="3">
        <v>50</v>
      </c>
      <c r="S5" s="3">
        <f>50-R5</f>
        <v>0</v>
      </c>
      <c r="T5" s="3">
        <v>100</v>
      </c>
      <c r="U5" s="3">
        <f>T5-R5</f>
        <v>50</v>
      </c>
      <c r="V5" s="3">
        <f>S5/U5</f>
        <v>0</v>
      </c>
      <c r="W5" s="3">
        <f>LOG10(2)</f>
        <v>0.3010299956639812</v>
      </c>
      <c r="X5" s="3">
        <f>V5*W5</f>
        <v>0</v>
      </c>
      <c r="Y5" s="3">
        <f t="shared" si="0"/>
        <v>2.8061799739838871</v>
      </c>
      <c r="Z5" s="3">
        <f>X5+Y5</f>
        <v>2.8061799739838871</v>
      </c>
      <c r="AA5" s="3">
        <f>10^Z5</f>
        <v>640.00000000000045</v>
      </c>
      <c r="AB5" s="3">
        <v>640</v>
      </c>
    </row>
    <row r="6" spans="1:28" x14ac:dyDescent="0.2">
      <c r="A6" s="34"/>
      <c r="B6" s="3">
        <v>4</v>
      </c>
      <c r="C6" s="3" t="s">
        <v>5</v>
      </c>
      <c r="D6" s="3" t="s">
        <v>94</v>
      </c>
      <c r="E6" s="42" t="s">
        <v>65</v>
      </c>
      <c r="F6" s="42" t="s">
        <v>65</v>
      </c>
      <c r="G6" s="42" t="s">
        <v>65</v>
      </c>
      <c r="H6" s="42" t="s">
        <v>66</v>
      </c>
      <c r="I6" s="42" t="s">
        <v>66</v>
      </c>
      <c r="J6" s="42" t="s">
        <v>66</v>
      </c>
      <c r="K6" s="42" t="s">
        <v>66</v>
      </c>
      <c r="L6" s="42" t="s">
        <v>66</v>
      </c>
      <c r="M6" s="42" t="s">
        <v>66</v>
      </c>
      <c r="N6" s="42" t="s">
        <v>66</v>
      </c>
      <c r="O6" s="42" t="s">
        <v>66</v>
      </c>
      <c r="P6" s="42" t="s">
        <v>65</v>
      </c>
      <c r="Q6" s="3">
        <v>80</v>
      </c>
      <c r="R6" s="3">
        <v>0</v>
      </c>
      <c r="S6" s="3">
        <f t="shared" ref="S6:S32" si="1">50-R6</f>
        <v>50</v>
      </c>
      <c r="T6" s="3">
        <v>100</v>
      </c>
      <c r="U6" s="3">
        <f t="shared" ref="U6:U32" si="2">T6-R6</f>
        <v>100</v>
      </c>
      <c r="V6" s="3">
        <f t="shared" ref="V6:V32" si="3">S6/U6</f>
        <v>0.5</v>
      </c>
      <c r="W6" s="3">
        <f t="shared" ref="W6:W32" si="4">LOG10(2)</f>
        <v>0.3010299956639812</v>
      </c>
      <c r="X6" s="3">
        <f t="shared" ref="X6:X32" si="5">V6*W6</f>
        <v>0.1505149978319906</v>
      </c>
      <c r="Y6" s="3">
        <f t="shared" si="0"/>
        <v>1.9030899869919435</v>
      </c>
      <c r="Z6" s="3">
        <f t="shared" ref="Z6:Z32" si="6">X6+Y6</f>
        <v>2.0536049848239339</v>
      </c>
      <c r="AA6" s="3">
        <f t="shared" ref="AA6:AA32" si="7">10^Z6</f>
        <v>113.13708498984757</v>
      </c>
      <c r="AB6" s="3">
        <v>113</v>
      </c>
    </row>
    <row r="7" spans="1:28" x14ac:dyDescent="0.2">
      <c r="A7" s="34" t="s">
        <v>72</v>
      </c>
      <c r="B7" s="3">
        <v>5</v>
      </c>
      <c r="C7" s="3" t="s">
        <v>6</v>
      </c>
      <c r="D7" s="3" t="s">
        <v>94</v>
      </c>
      <c r="E7" s="42" t="s">
        <v>65</v>
      </c>
      <c r="F7" s="42" t="s">
        <v>65</v>
      </c>
      <c r="G7" s="42" t="s">
        <v>65</v>
      </c>
      <c r="H7" s="42" t="s">
        <v>79</v>
      </c>
      <c r="I7" s="42" t="s">
        <v>91</v>
      </c>
      <c r="J7" s="42" t="s">
        <v>66</v>
      </c>
      <c r="K7" s="42" t="s">
        <v>66</v>
      </c>
      <c r="L7" s="42" t="s">
        <v>66</v>
      </c>
      <c r="M7" s="42" t="s">
        <v>66</v>
      </c>
      <c r="N7" s="42" t="s">
        <v>66</v>
      </c>
      <c r="O7" s="42" t="s">
        <v>66</v>
      </c>
      <c r="P7" s="42" t="s">
        <v>65</v>
      </c>
      <c r="Q7" s="3">
        <v>160</v>
      </c>
      <c r="R7" s="3">
        <v>25</v>
      </c>
      <c r="S7" s="3">
        <f t="shared" si="1"/>
        <v>25</v>
      </c>
      <c r="T7" s="3">
        <v>100</v>
      </c>
      <c r="U7" s="3">
        <f t="shared" si="2"/>
        <v>75</v>
      </c>
      <c r="V7" s="3">
        <f t="shared" si="3"/>
        <v>0.33333333333333331</v>
      </c>
      <c r="W7" s="3">
        <f t="shared" si="4"/>
        <v>0.3010299956639812</v>
      </c>
      <c r="X7" s="3">
        <f t="shared" si="5"/>
        <v>0.10034333188799373</v>
      </c>
      <c r="Y7" s="3">
        <f t="shared" si="0"/>
        <v>2.2041199826559246</v>
      </c>
      <c r="Z7" s="3">
        <f t="shared" si="6"/>
        <v>2.3044633145439182</v>
      </c>
      <c r="AA7" s="3">
        <f t="shared" si="7"/>
        <v>201.58736798317958</v>
      </c>
      <c r="AB7" s="3">
        <v>202</v>
      </c>
    </row>
    <row r="8" spans="1:28" x14ac:dyDescent="0.2">
      <c r="A8" s="34"/>
      <c r="B8" s="3">
        <v>6</v>
      </c>
      <c r="C8" s="3" t="s">
        <v>7</v>
      </c>
      <c r="D8" s="3" t="s">
        <v>94</v>
      </c>
      <c r="E8" s="42" t="s">
        <v>90</v>
      </c>
      <c r="F8" s="42" t="s">
        <v>67</v>
      </c>
      <c r="G8" s="42" t="s">
        <v>82</v>
      </c>
      <c r="H8" s="42" t="s">
        <v>66</v>
      </c>
      <c r="I8" s="42" t="s">
        <v>66</v>
      </c>
      <c r="J8" s="42" t="s">
        <v>66</v>
      </c>
      <c r="K8" s="42" t="s">
        <v>66</v>
      </c>
      <c r="L8" s="42" t="s">
        <v>66</v>
      </c>
      <c r="M8" s="42" t="s">
        <v>66</v>
      </c>
      <c r="N8" s="42" t="s">
        <v>66</v>
      </c>
      <c r="O8" s="42" t="s">
        <v>66</v>
      </c>
      <c r="P8" s="42" t="s">
        <v>65</v>
      </c>
      <c r="Q8" s="3">
        <v>20</v>
      </c>
      <c r="R8" s="3">
        <v>0</v>
      </c>
      <c r="S8" s="3">
        <f t="shared" si="1"/>
        <v>50</v>
      </c>
      <c r="T8" s="3">
        <v>75</v>
      </c>
      <c r="U8" s="3">
        <f t="shared" si="2"/>
        <v>75</v>
      </c>
      <c r="V8" s="3">
        <f t="shared" si="3"/>
        <v>0.66666666666666663</v>
      </c>
      <c r="W8" s="3">
        <f t="shared" si="4"/>
        <v>0.3010299956639812</v>
      </c>
      <c r="X8" s="3">
        <f t="shared" si="5"/>
        <v>0.20068666377598746</v>
      </c>
      <c r="Y8" s="3">
        <f t="shared" si="0"/>
        <v>1.3010299956639813</v>
      </c>
      <c r="Z8" s="3">
        <f t="shared" si="6"/>
        <v>1.5017166594399687</v>
      </c>
      <c r="AA8" s="3">
        <f t="shared" si="7"/>
        <v>31.748021039363998</v>
      </c>
      <c r="AB8" s="3">
        <v>32</v>
      </c>
    </row>
    <row r="9" spans="1:28" x14ac:dyDescent="0.2">
      <c r="A9" s="34" t="s">
        <v>73</v>
      </c>
      <c r="B9" s="3">
        <v>7</v>
      </c>
      <c r="C9" s="3" t="s">
        <v>8</v>
      </c>
      <c r="D9" s="3" t="s">
        <v>94</v>
      </c>
      <c r="E9" s="42" t="s">
        <v>65</v>
      </c>
      <c r="F9" s="42" t="s">
        <v>65</v>
      </c>
      <c r="G9" s="42" t="s">
        <v>65</v>
      </c>
      <c r="H9" s="42" t="s">
        <v>65</v>
      </c>
      <c r="I9" s="42" t="s">
        <v>70</v>
      </c>
      <c r="J9" s="42" t="s">
        <v>90</v>
      </c>
      <c r="K9" s="42" t="s">
        <v>66</v>
      </c>
      <c r="L9" s="42" t="s">
        <v>66</v>
      </c>
      <c r="M9" s="42" t="s">
        <v>66</v>
      </c>
      <c r="N9" s="42" t="s">
        <v>66</v>
      </c>
      <c r="O9" s="42" t="s">
        <v>66</v>
      </c>
      <c r="P9" s="42" t="s">
        <v>65</v>
      </c>
      <c r="Q9" s="3">
        <v>320</v>
      </c>
      <c r="R9" s="3">
        <v>0</v>
      </c>
      <c r="S9" s="3">
        <f t="shared" si="1"/>
        <v>50</v>
      </c>
      <c r="T9" s="3">
        <v>100</v>
      </c>
      <c r="U9" s="3">
        <f t="shared" si="2"/>
        <v>100</v>
      </c>
      <c r="V9" s="3">
        <f t="shared" si="3"/>
        <v>0.5</v>
      </c>
      <c r="W9" s="3">
        <f t="shared" si="4"/>
        <v>0.3010299956639812</v>
      </c>
      <c r="X9" s="3">
        <f t="shared" si="5"/>
        <v>0.1505149978319906</v>
      </c>
      <c r="Y9" s="3">
        <f t="shared" si="0"/>
        <v>2.5051499783199058</v>
      </c>
      <c r="Z9" s="3">
        <f t="shared" si="6"/>
        <v>2.6556649761518965</v>
      </c>
      <c r="AA9" s="3">
        <f t="shared" si="7"/>
        <v>452.54833995939072</v>
      </c>
      <c r="AB9" s="3">
        <v>453</v>
      </c>
    </row>
    <row r="10" spans="1:28" x14ac:dyDescent="0.2">
      <c r="A10" s="34"/>
      <c r="B10" s="3">
        <v>8</v>
      </c>
      <c r="C10" s="3" t="s">
        <v>9</v>
      </c>
      <c r="D10" s="3" t="s">
        <v>94</v>
      </c>
      <c r="E10" s="42" t="s">
        <v>68</v>
      </c>
      <c r="F10" s="42" t="s">
        <v>82</v>
      </c>
      <c r="G10" s="42" t="s">
        <v>66</v>
      </c>
      <c r="H10" s="42" t="s">
        <v>66</v>
      </c>
      <c r="I10" s="42" t="s">
        <v>66</v>
      </c>
      <c r="J10" s="42" t="s">
        <v>66</v>
      </c>
      <c r="K10" s="42" t="s">
        <v>66</v>
      </c>
      <c r="L10" s="42" t="s">
        <v>66</v>
      </c>
      <c r="M10" s="42" t="s">
        <v>66</v>
      </c>
      <c r="N10" s="42" t="s">
        <v>66</v>
      </c>
      <c r="O10" s="42" t="s">
        <v>66</v>
      </c>
      <c r="P10" s="42" t="s">
        <v>65</v>
      </c>
      <c r="Q10" s="3">
        <v>20</v>
      </c>
      <c r="R10" s="3">
        <v>25</v>
      </c>
      <c r="S10" s="3">
        <f t="shared" si="1"/>
        <v>25</v>
      </c>
      <c r="T10" s="3">
        <v>100</v>
      </c>
      <c r="U10" s="3">
        <f t="shared" si="2"/>
        <v>75</v>
      </c>
      <c r="V10" s="3">
        <f t="shared" si="3"/>
        <v>0.33333333333333331</v>
      </c>
      <c r="W10" s="3">
        <f t="shared" si="4"/>
        <v>0.3010299956639812</v>
      </c>
      <c r="X10" s="3">
        <f t="shared" si="5"/>
        <v>0.10034333188799373</v>
      </c>
      <c r="Y10" s="3">
        <f t="shared" si="0"/>
        <v>1.3010299956639813</v>
      </c>
      <c r="Z10" s="3">
        <f t="shared" si="6"/>
        <v>1.4013733275519751</v>
      </c>
      <c r="AA10" s="3">
        <f t="shared" si="7"/>
        <v>25.198420997897475</v>
      </c>
      <c r="AB10" s="3">
        <v>25</v>
      </c>
    </row>
    <row r="11" spans="1:28" x14ac:dyDescent="0.2">
      <c r="A11" s="34" t="s">
        <v>75</v>
      </c>
      <c r="B11" s="3">
        <v>9</v>
      </c>
      <c r="C11" s="3" t="s">
        <v>10</v>
      </c>
      <c r="D11" s="3" t="s">
        <v>94</v>
      </c>
      <c r="E11" s="42" t="s">
        <v>65</v>
      </c>
      <c r="F11" s="42" t="s">
        <v>65</v>
      </c>
      <c r="G11" s="42" t="s">
        <v>65</v>
      </c>
      <c r="H11" s="42" t="s">
        <v>65</v>
      </c>
      <c r="I11" s="42" t="s">
        <v>65</v>
      </c>
      <c r="J11" s="42" t="s">
        <v>71</v>
      </c>
      <c r="K11" s="42" t="s">
        <v>91</v>
      </c>
      <c r="L11" s="42" t="s">
        <v>66</v>
      </c>
      <c r="M11" s="42" t="s">
        <v>66</v>
      </c>
      <c r="N11" s="42" t="s">
        <v>66</v>
      </c>
      <c r="O11" s="42" t="s">
        <v>66</v>
      </c>
      <c r="P11" s="42" t="s">
        <v>65</v>
      </c>
      <c r="Q11" s="3">
        <v>640</v>
      </c>
      <c r="R11" s="3">
        <v>25</v>
      </c>
      <c r="S11" s="3">
        <f t="shared" si="1"/>
        <v>25</v>
      </c>
      <c r="T11" s="3">
        <v>100</v>
      </c>
      <c r="U11" s="3">
        <f t="shared" si="2"/>
        <v>75</v>
      </c>
      <c r="V11" s="3">
        <f t="shared" si="3"/>
        <v>0.33333333333333331</v>
      </c>
      <c r="W11" s="3">
        <f t="shared" si="4"/>
        <v>0.3010299956639812</v>
      </c>
      <c r="X11" s="3">
        <f t="shared" si="5"/>
        <v>0.10034333188799373</v>
      </c>
      <c r="Y11" s="3">
        <f t="shared" si="0"/>
        <v>2.8061799739838871</v>
      </c>
      <c r="Z11" s="3">
        <f t="shared" si="6"/>
        <v>2.9065233058718807</v>
      </c>
      <c r="AA11" s="3">
        <f t="shared" si="7"/>
        <v>806.34947193271921</v>
      </c>
      <c r="AB11" s="3">
        <v>806</v>
      </c>
    </row>
    <row r="12" spans="1:28" x14ac:dyDescent="0.2">
      <c r="A12" s="34"/>
      <c r="B12" s="3">
        <v>10</v>
      </c>
      <c r="C12" s="3" t="s">
        <v>11</v>
      </c>
      <c r="D12" s="3" t="s">
        <v>94</v>
      </c>
      <c r="E12" s="42" t="s">
        <v>65</v>
      </c>
      <c r="F12" s="42" t="s">
        <v>74</v>
      </c>
      <c r="G12" s="42" t="s">
        <v>65</v>
      </c>
      <c r="H12" s="42" t="s">
        <v>90</v>
      </c>
      <c r="I12" s="42" t="s">
        <v>66</v>
      </c>
      <c r="J12" s="42" t="s">
        <v>66</v>
      </c>
      <c r="K12" s="42" t="s">
        <v>66</v>
      </c>
      <c r="L12" s="42" t="s">
        <v>66</v>
      </c>
      <c r="M12" s="42" t="s">
        <v>66</v>
      </c>
      <c r="N12" s="42" t="s">
        <v>66</v>
      </c>
      <c r="O12" s="42" t="s">
        <v>66</v>
      </c>
      <c r="P12" s="42" t="s">
        <v>65</v>
      </c>
      <c r="Q12" s="3">
        <v>80</v>
      </c>
      <c r="R12" s="3">
        <v>0</v>
      </c>
      <c r="S12" s="3">
        <f t="shared" si="1"/>
        <v>50</v>
      </c>
      <c r="T12" s="3">
        <v>100</v>
      </c>
      <c r="U12" s="3">
        <f t="shared" si="2"/>
        <v>100</v>
      </c>
      <c r="V12" s="3">
        <f t="shared" si="3"/>
        <v>0.5</v>
      </c>
      <c r="W12" s="3">
        <f t="shared" si="4"/>
        <v>0.3010299956639812</v>
      </c>
      <c r="X12" s="3">
        <f t="shared" si="5"/>
        <v>0.1505149978319906</v>
      </c>
      <c r="Y12" s="3">
        <f t="shared" si="0"/>
        <v>1.9030899869919435</v>
      </c>
      <c r="Z12" s="3">
        <f t="shared" si="6"/>
        <v>2.0536049848239339</v>
      </c>
      <c r="AA12" s="3">
        <f t="shared" si="7"/>
        <v>113.13708498984757</v>
      </c>
      <c r="AB12" s="3">
        <v>113</v>
      </c>
    </row>
    <row r="13" spans="1:28" x14ac:dyDescent="0.2">
      <c r="A13" s="34" t="s">
        <v>78</v>
      </c>
      <c r="B13" s="3">
        <v>11</v>
      </c>
      <c r="C13" s="3" t="s">
        <v>12</v>
      </c>
      <c r="D13" s="3" t="s">
        <v>94</v>
      </c>
      <c r="E13" s="42" t="s">
        <v>67</v>
      </c>
      <c r="F13" s="42" t="s">
        <v>91</v>
      </c>
      <c r="G13" s="42" t="s">
        <v>66</v>
      </c>
      <c r="H13" s="42" t="s">
        <v>66</v>
      </c>
      <c r="I13" s="42" t="s">
        <v>66</v>
      </c>
      <c r="J13" s="42" t="s">
        <v>66</v>
      </c>
      <c r="K13" s="42" t="s">
        <v>66</v>
      </c>
      <c r="L13" s="42" t="s">
        <v>66</v>
      </c>
      <c r="M13" s="42" t="s">
        <v>66</v>
      </c>
      <c r="N13" s="42" t="s">
        <v>66</v>
      </c>
      <c r="O13" s="42" t="s">
        <v>66</v>
      </c>
      <c r="P13" s="42" t="s">
        <v>65</v>
      </c>
      <c r="Q13" s="3">
        <v>20</v>
      </c>
      <c r="R13" s="3">
        <v>0</v>
      </c>
      <c r="S13" s="3">
        <f t="shared" si="1"/>
        <v>50</v>
      </c>
      <c r="T13" s="3">
        <v>100</v>
      </c>
      <c r="U13" s="3">
        <f t="shared" si="2"/>
        <v>100</v>
      </c>
      <c r="V13" s="3">
        <f t="shared" si="3"/>
        <v>0.5</v>
      </c>
      <c r="W13" s="3">
        <f t="shared" si="4"/>
        <v>0.3010299956639812</v>
      </c>
      <c r="X13" s="3">
        <f t="shared" si="5"/>
        <v>0.1505149978319906</v>
      </c>
      <c r="Y13" s="3">
        <f t="shared" si="0"/>
        <v>1.3010299956639813</v>
      </c>
      <c r="Z13" s="3">
        <f t="shared" si="6"/>
        <v>1.4515449934959719</v>
      </c>
      <c r="AA13" s="3">
        <f t="shared" si="7"/>
        <v>28.284271247461909</v>
      </c>
      <c r="AB13" s="3">
        <v>28</v>
      </c>
    </row>
    <row r="14" spans="1:28" x14ac:dyDescent="0.2">
      <c r="A14" s="34"/>
      <c r="B14" s="3">
        <v>12</v>
      </c>
      <c r="C14" s="3" t="s">
        <v>13</v>
      </c>
      <c r="D14" s="3" t="s">
        <v>94</v>
      </c>
      <c r="E14" s="42" t="s">
        <v>65</v>
      </c>
      <c r="F14" s="42" t="s">
        <v>65</v>
      </c>
      <c r="G14" s="42" t="s">
        <v>70</v>
      </c>
      <c r="H14" s="42" t="s">
        <v>66</v>
      </c>
      <c r="I14" s="42" t="s">
        <v>66</v>
      </c>
      <c r="J14" s="42" t="s">
        <v>66</v>
      </c>
      <c r="K14" s="42" t="s">
        <v>66</v>
      </c>
      <c r="L14" s="42" t="s">
        <v>66</v>
      </c>
      <c r="M14" s="42" t="s">
        <v>66</v>
      </c>
      <c r="N14" s="42" t="s">
        <v>66</v>
      </c>
      <c r="O14" s="42" t="s">
        <v>66</v>
      </c>
      <c r="P14" s="42" t="s">
        <v>65</v>
      </c>
      <c r="Q14" s="3">
        <v>80</v>
      </c>
      <c r="R14" s="3">
        <v>25</v>
      </c>
      <c r="S14" s="3">
        <f t="shared" si="1"/>
        <v>25</v>
      </c>
      <c r="T14" s="3">
        <v>100</v>
      </c>
      <c r="U14" s="3">
        <f t="shared" si="2"/>
        <v>75</v>
      </c>
      <c r="V14" s="3">
        <f t="shared" si="3"/>
        <v>0.33333333333333331</v>
      </c>
      <c r="W14" s="3">
        <f t="shared" si="4"/>
        <v>0.3010299956639812</v>
      </c>
      <c r="X14" s="3">
        <f t="shared" si="5"/>
        <v>0.10034333188799373</v>
      </c>
      <c r="Y14" s="3">
        <f t="shared" si="0"/>
        <v>1.9030899869919435</v>
      </c>
      <c r="Z14" s="3">
        <f t="shared" si="6"/>
        <v>2.0034333188799374</v>
      </c>
      <c r="AA14" s="3">
        <f t="shared" si="7"/>
        <v>100.79368399158987</v>
      </c>
      <c r="AB14" s="3">
        <v>101</v>
      </c>
    </row>
    <row r="15" spans="1:28" x14ac:dyDescent="0.2">
      <c r="A15" s="34" t="s">
        <v>81</v>
      </c>
      <c r="B15" s="3">
        <v>13</v>
      </c>
      <c r="C15" s="3" t="s">
        <v>14</v>
      </c>
      <c r="D15" s="3" t="s">
        <v>94</v>
      </c>
      <c r="E15" s="42" t="s">
        <v>65</v>
      </c>
      <c r="F15" s="42" t="s">
        <v>65</v>
      </c>
      <c r="G15" s="42" t="s">
        <v>65</v>
      </c>
      <c r="H15" s="42" t="s">
        <v>65</v>
      </c>
      <c r="I15" s="42" t="s">
        <v>67</v>
      </c>
      <c r="J15" s="42" t="s">
        <v>68</v>
      </c>
      <c r="K15" s="42" t="s">
        <v>66</v>
      </c>
      <c r="L15" s="42" t="s">
        <v>66</v>
      </c>
      <c r="M15" s="42" t="s">
        <v>66</v>
      </c>
      <c r="N15" s="42" t="s">
        <v>66</v>
      </c>
      <c r="O15" s="42" t="s">
        <v>66</v>
      </c>
      <c r="P15" s="42" t="s">
        <v>65</v>
      </c>
      <c r="Q15" s="3">
        <v>320</v>
      </c>
      <c r="R15" s="3">
        <v>0</v>
      </c>
      <c r="S15" s="3">
        <f t="shared" si="1"/>
        <v>50</v>
      </c>
      <c r="T15" s="3">
        <v>75</v>
      </c>
      <c r="U15" s="3">
        <f t="shared" si="2"/>
        <v>75</v>
      </c>
      <c r="V15" s="3">
        <f t="shared" si="3"/>
        <v>0.66666666666666663</v>
      </c>
      <c r="W15" s="3">
        <f t="shared" si="4"/>
        <v>0.3010299956639812</v>
      </c>
      <c r="X15" s="3">
        <f t="shared" si="5"/>
        <v>0.20068666377598746</v>
      </c>
      <c r="Y15" s="3">
        <f t="shared" si="0"/>
        <v>2.5051499783199058</v>
      </c>
      <c r="Z15" s="3">
        <f t="shared" si="6"/>
        <v>2.7058366420958935</v>
      </c>
      <c r="AA15" s="3">
        <f t="shared" si="7"/>
        <v>507.96833662982436</v>
      </c>
      <c r="AB15" s="3">
        <v>508</v>
      </c>
    </row>
    <row r="16" spans="1:28" x14ac:dyDescent="0.2">
      <c r="A16" s="34"/>
      <c r="B16" s="3">
        <v>14</v>
      </c>
      <c r="C16" s="3" t="s">
        <v>15</v>
      </c>
      <c r="D16" s="3" t="s">
        <v>94</v>
      </c>
      <c r="E16" s="42" t="s">
        <v>76</v>
      </c>
      <c r="F16" s="42" t="s">
        <v>66</v>
      </c>
      <c r="G16" s="42" t="s">
        <v>66</v>
      </c>
      <c r="H16" s="42" t="s">
        <v>66</v>
      </c>
      <c r="I16" s="42" t="s">
        <v>66</v>
      </c>
      <c r="J16" s="42" t="s">
        <v>66</v>
      </c>
      <c r="K16" s="42" t="s">
        <v>66</v>
      </c>
      <c r="L16" s="42" t="s">
        <v>66</v>
      </c>
      <c r="M16" s="42" t="s">
        <v>66</v>
      </c>
      <c r="N16" s="42" t="s">
        <v>66</v>
      </c>
      <c r="O16" s="42" t="s">
        <v>66</v>
      </c>
      <c r="P16" s="42" t="s">
        <v>65</v>
      </c>
      <c r="Q16" s="3">
        <v>20</v>
      </c>
      <c r="R16" s="3">
        <v>25</v>
      </c>
      <c r="S16" s="3">
        <f t="shared" si="1"/>
        <v>25</v>
      </c>
      <c r="T16" s="3">
        <v>100</v>
      </c>
      <c r="U16" s="3">
        <f t="shared" si="2"/>
        <v>75</v>
      </c>
      <c r="V16" s="3">
        <f t="shared" si="3"/>
        <v>0.33333333333333331</v>
      </c>
      <c r="W16" s="3">
        <f t="shared" si="4"/>
        <v>0.3010299956639812</v>
      </c>
      <c r="X16" s="3">
        <f t="shared" si="5"/>
        <v>0.10034333188799373</v>
      </c>
      <c r="Y16" s="3">
        <f t="shared" si="0"/>
        <v>1.3010299956639813</v>
      </c>
      <c r="Z16" s="3">
        <f t="shared" si="6"/>
        <v>1.4013733275519751</v>
      </c>
      <c r="AA16" s="3">
        <f t="shared" si="7"/>
        <v>25.198420997897475</v>
      </c>
      <c r="AB16" s="3">
        <v>25</v>
      </c>
    </row>
    <row r="17" spans="1:28" x14ac:dyDescent="0.2">
      <c r="A17" s="34" t="s">
        <v>83</v>
      </c>
      <c r="B17" s="3">
        <v>15</v>
      </c>
      <c r="C17" s="3" t="s">
        <v>16</v>
      </c>
      <c r="D17" s="3" t="s">
        <v>94</v>
      </c>
      <c r="E17" s="42" t="s">
        <v>65</v>
      </c>
      <c r="F17" s="42" t="s">
        <v>65</v>
      </c>
      <c r="G17" s="42" t="s">
        <v>65</v>
      </c>
      <c r="H17" s="42" t="s">
        <v>65</v>
      </c>
      <c r="I17" s="42" t="s">
        <v>65</v>
      </c>
      <c r="J17" s="42" t="s">
        <v>79</v>
      </c>
      <c r="K17" s="42" t="s">
        <v>91</v>
      </c>
      <c r="L17" s="42" t="s">
        <v>66</v>
      </c>
      <c r="M17" s="42" t="s">
        <v>66</v>
      </c>
      <c r="N17" s="42" t="s">
        <v>66</v>
      </c>
      <c r="O17" s="42" t="s">
        <v>66</v>
      </c>
      <c r="P17" s="42" t="s">
        <v>65</v>
      </c>
      <c r="Q17" s="3">
        <v>640</v>
      </c>
      <c r="R17" s="3">
        <v>25</v>
      </c>
      <c r="S17" s="3">
        <f t="shared" si="1"/>
        <v>25</v>
      </c>
      <c r="T17" s="3">
        <v>100</v>
      </c>
      <c r="U17" s="3">
        <f t="shared" si="2"/>
        <v>75</v>
      </c>
      <c r="V17" s="3">
        <f t="shared" si="3"/>
        <v>0.33333333333333331</v>
      </c>
      <c r="W17" s="3">
        <f t="shared" si="4"/>
        <v>0.3010299956639812</v>
      </c>
      <c r="X17" s="3">
        <f t="shared" si="5"/>
        <v>0.10034333188799373</v>
      </c>
      <c r="Y17" s="3">
        <f t="shared" si="0"/>
        <v>2.8061799739838871</v>
      </c>
      <c r="Z17" s="3">
        <f t="shared" si="6"/>
        <v>2.9065233058718807</v>
      </c>
      <c r="AA17" s="3">
        <f t="shared" si="7"/>
        <v>806.34947193271921</v>
      </c>
      <c r="AB17" s="3">
        <v>806</v>
      </c>
    </row>
    <row r="18" spans="1:28" x14ac:dyDescent="0.2">
      <c r="A18" s="34"/>
      <c r="B18" s="3">
        <v>16</v>
      </c>
      <c r="C18" s="3" t="s">
        <v>17</v>
      </c>
      <c r="D18" s="3" t="s">
        <v>94</v>
      </c>
      <c r="E18" s="42" t="s">
        <v>65</v>
      </c>
      <c r="F18" s="42" t="s">
        <v>65</v>
      </c>
      <c r="G18" s="42" t="s">
        <v>74</v>
      </c>
      <c r="H18" s="42" t="s">
        <v>70</v>
      </c>
      <c r="I18" s="42" t="s">
        <v>91</v>
      </c>
      <c r="J18" s="42" t="s">
        <v>66</v>
      </c>
      <c r="K18" s="42" t="s">
        <v>66</v>
      </c>
      <c r="L18" s="42" t="s">
        <v>66</v>
      </c>
      <c r="M18" s="42" t="s">
        <v>66</v>
      </c>
      <c r="N18" s="42" t="s">
        <v>66</v>
      </c>
      <c r="O18" s="42" t="s">
        <v>66</v>
      </c>
      <c r="P18" s="42" t="s">
        <v>65</v>
      </c>
      <c r="Q18" s="3">
        <v>160</v>
      </c>
      <c r="R18" s="3">
        <v>25</v>
      </c>
      <c r="S18" s="3">
        <f t="shared" si="1"/>
        <v>25</v>
      </c>
      <c r="T18" s="3">
        <v>100</v>
      </c>
      <c r="U18" s="3">
        <f t="shared" si="2"/>
        <v>75</v>
      </c>
      <c r="V18" s="3">
        <f t="shared" si="3"/>
        <v>0.33333333333333331</v>
      </c>
      <c r="W18" s="3">
        <f t="shared" si="4"/>
        <v>0.3010299956639812</v>
      </c>
      <c r="X18" s="3">
        <f t="shared" si="5"/>
        <v>0.10034333188799373</v>
      </c>
      <c r="Y18" s="3">
        <f t="shared" si="0"/>
        <v>2.2041199826559246</v>
      </c>
      <c r="Z18" s="3">
        <f t="shared" si="6"/>
        <v>2.3044633145439182</v>
      </c>
      <c r="AA18" s="3">
        <f t="shared" si="7"/>
        <v>201.58736798317958</v>
      </c>
      <c r="AB18" s="3">
        <v>202</v>
      </c>
    </row>
    <row r="19" spans="1:28" x14ac:dyDescent="0.2">
      <c r="A19" s="34" t="s">
        <v>84</v>
      </c>
      <c r="B19" s="3">
        <v>17</v>
      </c>
      <c r="C19" s="3" t="s">
        <v>18</v>
      </c>
      <c r="D19" s="3" t="s">
        <v>94</v>
      </c>
      <c r="E19" s="42" t="s">
        <v>65</v>
      </c>
      <c r="F19" s="42" t="s">
        <v>65</v>
      </c>
      <c r="G19" s="42" t="s">
        <v>65</v>
      </c>
      <c r="H19" s="42" t="s">
        <v>74</v>
      </c>
      <c r="I19" s="42" t="s">
        <v>65</v>
      </c>
      <c r="J19" s="42" t="s">
        <v>87</v>
      </c>
      <c r="K19" s="42" t="s">
        <v>66</v>
      </c>
      <c r="L19" s="42" t="s">
        <v>66</v>
      </c>
      <c r="M19" s="42" t="s">
        <v>66</v>
      </c>
      <c r="N19" s="42" t="s">
        <v>66</v>
      </c>
      <c r="O19" s="42" t="s">
        <v>66</v>
      </c>
      <c r="P19" s="42" t="s">
        <v>65</v>
      </c>
      <c r="Q19" s="3">
        <v>320</v>
      </c>
      <c r="R19" s="3">
        <v>0</v>
      </c>
      <c r="S19" s="3">
        <f t="shared" si="1"/>
        <v>50</v>
      </c>
      <c r="T19" s="3">
        <v>75</v>
      </c>
      <c r="U19" s="3">
        <f t="shared" si="2"/>
        <v>75</v>
      </c>
      <c r="V19" s="3">
        <f t="shared" si="3"/>
        <v>0.66666666666666663</v>
      </c>
      <c r="W19" s="3">
        <f t="shared" si="4"/>
        <v>0.3010299956639812</v>
      </c>
      <c r="X19" s="3">
        <f t="shared" si="5"/>
        <v>0.20068666377598746</v>
      </c>
      <c r="Y19" s="3">
        <f t="shared" si="0"/>
        <v>2.5051499783199058</v>
      </c>
      <c r="Z19" s="3">
        <f t="shared" si="6"/>
        <v>2.7058366420958935</v>
      </c>
      <c r="AA19" s="3">
        <f t="shared" si="7"/>
        <v>507.96833662982436</v>
      </c>
      <c r="AB19" s="3">
        <v>508</v>
      </c>
    </row>
    <row r="20" spans="1:28" x14ac:dyDescent="0.2">
      <c r="A20" s="34"/>
      <c r="B20" s="3">
        <v>18</v>
      </c>
      <c r="C20" s="3" t="s">
        <v>19</v>
      </c>
      <c r="D20" s="3" t="s">
        <v>94</v>
      </c>
      <c r="E20" s="42" t="s">
        <v>65</v>
      </c>
      <c r="F20" s="42" t="s">
        <v>65</v>
      </c>
      <c r="G20" s="42" t="s">
        <v>65</v>
      </c>
      <c r="H20" s="42" t="s">
        <v>65</v>
      </c>
      <c r="I20" s="42" t="s">
        <v>65</v>
      </c>
      <c r="J20" s="42" t="s">
        <v>70</v>
      </c>
      <c r="K20" s="42" t="s">
        <v>90</v>
      </c>
      <c r="L20" s="42" t="s">
        <v>66</v>
      </c>
      <c r="M20" s="42" t="s">
        <v>66</v>
      </c>
      <c r="N20" s="42" t="s">
        <v>66</v>
      </c>
      <c r="O20" s="42" t="s">
        <v>66</v>
      </c>
      <c r="P20" s="42" t="s">
        <v>65</v>
      </c>
      <c r="Q20" s="3">
        <v>640</v>
      </c>
      <c r="R20" s="3">
        <v>0</v>
      </c>
      <c r="S20" s="3">
        <f t="shared" si="1"/>
        <v>50</v>
      </c>
      <c r="T20" s="3">
        <v>100</v>
      </c>
      <c r="U20" s="3">
        <f t="shared" si="2"/>
        <v>100</v>
      </c>
      <c r="V20" s="3">
        <f t="shared" si="3"/>
        <v>0.5</v>
      </c>
      <c r="W20" s="3">
        <f t="shared" si="4"/>
        <v>0.3010299956639812</v>
      </c>
      <c r="X20" s="3">
        <f t="shared" si="5"/>
        <v>0.1505149978319906</v>
      </c>
      <c r="Y20" s="3">
        <f t="shared" si="0"/>
        <v>2.8061799739838871</v>
      </c>
      <c r="Z20" s="3">
        <f t="shared" si="6"/>
        <v>2.9566949718158777</v>
      </c>
      <c r="AA20" s="3">
        <f t="shared" si="7"/>
        <v>905.09667991878155</v>
      </c>
      <c r="AB20" s="3">
        <v>905</v>
      </c>
    </row>
    <row r="21" spans="1:28" x14ac:dyDescent="0.2">
      <c r="A21" s="34" t="s">
        <v>85</v>
      </c>
      <c r="B21" s="3">
        <v>19</v>
      </c>
      <c r="C21" s="3" t="s">
        <v>20</v>
      </c>
      <c r="D21" s="3" t="s">
        <v>94</v>
      </c>
      <c r="E21" s="42" t="s">
        <v>65</v>
      </c>
      <c r="F21" s="42" t="s">
        <v>65</v>
      </c>
      <c r="G21" s="42" t="s">
        <v>65</v>
      </c>
      <c r="H21" s="42" t="s">
        <v>65</v>
      </c>
      <c r="I21" s="42" t="s">
        <v>76</v>
      </c>
      <c r="J21" s="42" t="s">
        <v>74</v>
      </c>
      <c r="K21" s="42" t="s">
        <v>66</v>
      </c>
      <c r="L21" s="42" t="s">
        <v>66</v>
      </c>
      <c r="M21" s="42" t="s">
        <v>66</v>
      </c>
      <c r="N21" s="42" t="s">
        <v>66</v>
      </c>
      <c r="O21" s="42" t="s">
        <v>66</v>
      </c>
      <c r="P21" s="42" t="s">
        <v>65</v>
      </c>
      <c r="Q21" s="3">
        <v>640</v>
      </c>
      <c r="R21" s="3">
        <v>50</v>
      </c>
      <c r="S21" s="3">
        <f t="shared" si="1"/>
        <v>0</v>
      </c>
      <c r="T21" s="3">
        <v>100</v>
      </c>
      <c r="U21" s="3">
        <f t="shared" si="2"/>
        <v>50</v>
      </c>
      <c r="V21" s="3">
        <f t="shared" si="3"/>
        <v>0</v>
      </c>
      <c r="W21" s="3">
        <f t="shared" si="4"/>
        <v>0.3010299956639812</v>
      </c>
      <c r="X21" s="3">
        <f t="shared" si="5"/>
        <v>0</v>
      </c>
      <c r="Y21" s="3">
        <f t="shared" si="0"/>
        <v>2.8061799739838871</v>
      </c>
      <c r="Z21" s="3">
        <f t="shared" si="6"/>
        <v>2.8061799739838871</v>
      </c>
      <c r="AA21" s="3">
        <f t="shared" si="7"/>
        <v>640.00000000000045</v>
      </c>
      <c r="AB21" s="3">
        <v>640</v>
      </c>
    </row>
    <row r="22" spans="1:28" x14ac:dyDescent="0.2">
      <c r="A22" s="34"/>
      <c r="B22" s="3">
        <v>20</v>
      </c>
      <c r="C22" s="3" t="s">
        <v>21</v>
      </c>
      <c r="D22" s="3" t="s">
        <v>94</v>
      </c>
      <c r="E22" s="42" t="s">
        <v>65</v>
      </c>
      <c r="F22" s="42" t="s">
        <v>65</v>
      </c>
      <c r="G22" s="42" t="s">
        <v>65</v>
      </c>
      <c r="H22" s="42" t="s">
        <v>65</v>
      </c>
      <c r="I22" s="42" t="s">
        <v>80</v>
      </c>
      <c r="J22" s="42" t="s">
        <v>66</v>
      </c>
      <c r="K22" s="42" t="s">
        <v>66</v>
      </c>
      <c r="L22" s="42" t="s">
        <v>66</v>
      </c>
      <c r="M22" s="42" t="s">
        <v>66</v>
      </c>
      <c r="N22" s="42" t="s">
        <v>66</v>
      </c>
      <c r="O22" s="42" t="s">
        <v>66</v>
      </c>
      <c r="P22" s="42" t="s">
        <v>65</v>
      </c>
      <c r="Q22" s="3">
        <v>320</v>
      </c>
      <c r="R22" s="3">
        <v>50</v>
      </c>
      <c r="S22" s="3">
        <f t="shared" si="1"/>
        <v>0</v>
      </c>
      <c r="T22" s="3">
        <v>100</v>
      </c>
      <c r="U22" s="3">
        <f t="shared" si="2"/>
        <v>50</v>
      </c>
      <c r="V22" s="3">
        <f t="shared" si="3"/>
        <v>0</v>
      </c>
      <c r="W22" s="3">
        <f t="shared" si="4"/>
        <v>0.3010299956639812</v>
      </c>
      <c r="X22" s="3">
        <f t="shared" si="5"/>
        <v>0</v>
      </c>
      <c r="Y22" s="3">
        <f t="shared" si="0"/>
        <v>2.5051499783199058</v>
      </c>
      <c r="Z22" s="3">
        <f t="shared" si="6"/>
        <v>2.5051499783199058</v>
      </c>
      <c r="AA22" s="3">
        <f t="shared" si="7"/>
        <v>319.99999999999994</v>
      </c>
      <c r="AB22" s="3">
        <v>320</v>
      </c>
    </row>
    <row r="23" spans="1:28" x14ac:dyDescent="0.2">
      <c r="A23" s="34" t="s">
        <v>86</v>
      </c>
      <c r="B23" s="3">
        <v>21</v>
      </c>
      <c r="C23" s="3" t="s">
        <v>22</v>
      </c>
      <c r="D23" s="3" t="s">
        <v>94</v>
      </c>
      <c r="E23" s="42" t="s">
        <v>65</v>
      </c>
      <c r="F23" s="42" t="s">
        <v>65</v>
      </c>
      <c r="G23" s="42" t="s">
        <v>65</v>
      </c>
      <c r="H23" s="42" t="s">
        <v>74</v>
      </c>
      <c r="I23" s="42" t="s">
        <v>68</v>
      </c>
      <c r="J23" s="42" t="s">
        <v>82</v>
      </c>
      <c r="K23" s="42" t="s">
        <v>66</v>
      </c>
      <c r="L23" s="42" t="s">
        <v>66</v>
      </c>
      <c r="M23" s="42" t="s">
        <v>66</v>
      </c>
      <c r="N23" s="42" t="s">
        <v>66</v>
      </c>
      <c r="O23" s="42" t="s">
        <v>66</v>
      </c>
      <c r="P23" s="42" t="s">
        <v>65</v>
      </c>
      <c r="Q23" s="3">
        <v>320</v>
      </c>
      <c r="R23" s="3">
        <v>50</v>
      </c>
      <c r="S23" s="3">
        <f t="shared" si="1"/>
        <v>0</v>
      </c>
      <c r="T23" s="3">
        <v>100</v>
      </c>
      <c r="U23" s="3">
        <f t="shared" si="2"/>
        <v>50</v>
      </c>
      <c r="V23" s="3">
        <f t="shared" si="3"/>
        <v>0</v>
      </c>
      <c r="W23" s="3">
        <f t="shared" si="4"/>
        <v>0.3010299956639812</v>
      </c>
      <c r="X23" s="3">
        <f t="shared" si="5"/>
        <v>0</v>
      </c>
      <c r="Y23" s="3">
        <f t="shared" si="0"/>
        <v>2.5051499783199058</v>
      </c>
      <c r="Z23" s="3">
        <f t="shared" si="6"/>
        <v>2.5051499783199058</v>
      </c>
      <c r="AA23" s="3">
        <f t="shared" si="7"/>
        <v>319.99999999999994</v>
      </c>
      <c r="AB23" s="3">
        <v>320</v>
      </c>
    </row>
    <row r="24" spans="1:28" x14ac:dyDescent="0.2">
      <c r="A24" s="34"/>
      <c r="B24" s="3">
        <v>22</v>
      </c>
      <c r="C24" s="3" t="s">
        <v>23</v>
      </c>
      <c r="D24" s="3" t="s">
        <v>94</v>
      </c>
      <c r="E24" s="42" t="s">
        <v>65</v>
      </c>
      <c r="F24" s="42" t="s">
        <v>65</v>
      </c>
      <c r="G24" s="42" t="s">
        <v>76</v>
      </c>
      <c r="H24" s="42" t="s">
        <v>65</v>
      </c>
      <c r="I24" s="42" t="s">
        <v>66</v>
      </c>
      <c r="J24" s="42" t="s">
        <v>66</v>
      </c>
      <c r="K24" s="42" t="s">
        <v>66</v>
      </c>
      <c r="L24" s="42" t="s">
        <v>66</v>
      </c>
      <c r="M24" s="42" t="s">
        <v>66</v>
      </c>
      <c r="N24" s="42" t="s">
        <v>66</v>
      </c>
      <c r="O24" s="42" t="s">
        <v>66</v>
      </c>
      <c r="P24" s="42" t="s">
        <v>65</v>
      </c>
      <c r="Q24" s="3">
        <v>160</v>
      </c>
      <c r="R24" s="3">
        <v>25</v>
      </c>
      <c r="S24" s="3">
        <f t="shared" si="1"/>
        <v>25</v>
      </c>
      <c r="T24" s="3">
        <v>100</v>
      </c>
      <c r="U24" s="3">
        <f t="shared" si="2"/>
        <v>75</v>
      </c>
      <c r="V24" s="3">
        <f t="shared" si="3"/>
        <v>0.33333333333333331</v>
      </c>
      <c r="W24" s="3">
        <f t="shared" si="4"/>
        <v>0.3010299956639812</v>
      </c>
      <c r="X24" s="3">
        <f t="shared" si="5"/>
        <v>0.10034333188799373</v>
      </c>
      <c r="Y24" s="3">
        <f t="shared" si="0"/>
        <v>2.2041199826559246</v>
      </c>
      <c r="Z24" s="3">
        <f t="shared" si="6"/>
        <v>2.3044633145439182</v>
      </c>
      <c r="AA24" s="3">
        <f t="shared" si="7"/>
        <v>201.58736798317958</v>
      </c>
      <c r="AB24" s="3">
        <v>202</v>
      </c>
    </row>
    <row r="25" spans="1:28" x14ac:dyDescent="0.2">
      <c r="A25" s="34" t="s">
        <v>88</v>
      </c>
      <c r="B25" s="3">
        <v>23</v>
      </c>
      <c r="C25" s="3" t="s">
        <v>24</v>
      </c>
      <c r="D25" s="3" t="s">
        <v>94</v>
      </c>
      <c r="E25" s="42" t="s">
        <v>65</v>
      </c>
      <c r="F25" s="42" t="s">
        <v>65</v>
      </c>
      <c r="G25" s="42" t="s">
        <v>65</v>
      </c>
      <c r="H25" s="42" t="s">
        <v>65</v>
      </c>
      <c r="I25" s="42" t="s">
        <v>65</v>
      </c>
      <c r="J25" s="42" t="s">
        <v>82</v>
      </c>
      <c r="K25" s="42" t="s">
        <v>82</v>
      </c>
      <c r="L25" s="42" t="s">
        <v>66</v>
      </c>
      <c r="M25" s="42" t="s">
        <v>66</v>
      </c>
      <c r="N25" s="42" t="s">
        <v>66</v>
      </c>
      <c r="O25" s="42" t="s">
        <v>66</v>
      </c>
      <c r="P25" s="42" t="s">
        <v>65</v>
      </c>
      <c r="Q25" s="3">
        <v>640</v>
      </c>
      <c r="R25" s="3">
        <v>50</v>
      </c>
      <c r="S25" s="3">
        <f t="shared" si="1"/>
        <v>0</v>
      </c>
      <c r="T25" s="3">
        <v>100</v>
      </c>
      <c r="U25" s="3">
        <f t="shared" si="2"/>
        <v>50</v>
      </c>
      <c r="V25" s="3">
        <f t="shared" si="3"/>
        <v>0</v>
      </c>
      <c r="W25" s="3">
        <f t="shared" si="4"/>
        <v>0.3010299956639812</v>
      </c>
      <c r="X25" s="3">
        <f t="shared" si="5"/>
        <v>0</v>
      </c>
      <c r="Y25" s="3">
        <f t="shared" si="0"/>
        <v>2.8061799739838871</v>
      </c>
      <c r="Z25" s="3">
        <f t="shared" si="6"/>
        <v>2.8061799739838871</v>
      </c>
      <c r="AA25" s="3">
        <f t="shared" si="7"/>
        <v>640.00000000000045</v>
      </c>
      <c r="AB25" s="3">
        <v>640</v>
      </c>
    </row>
    <row r="26" spans="1:28" x14ac:dyDescent="0.2">
      <c r="A26" s="34"/>
      <c r="B26" s="3">
        <v>24</v>
      </c>
      <c r="C26" s="3" t="s">
        <v>25</v>
      </c>
      <c r="D26" s="3" t="s">
        <v>94</v>
      </c>
      <c r="E26" s="42" t="s">
        <v>65</v>
      </c>
      <c r="F26" s="42" t="s">
        <v>65</v>
      </c>
      <c r="G26" s="42" t="s">
        <v>76</v>
      </c>
      <c r="H26" s="42" t="s">
        <v>65</v>
      </c>
      <c r="I26" s="42" t="s">
        <v>71</v>
      </c>
      <c r="J26" s="42" t="s">
        <v>66</v>
      </c>
      <c r="K26" s="42" t="s">
        <v>66</v>
      </c>
      <c r="L26" s="42" t="s">
        <v>66</v>
      </c>
      <c r="M26" s="42" t="s">
        <v>66</v>
      </c>
      <c r="N26" s="42" t="s">
        <v>66</v>
      </c>
      <c r="O26" s="42" t="s">
        <v>66</v>
      </c>
      <c r="P26" s="42" t="s">
        <v>65</v>
      </c>
      <c r="Q26" s="3">
        <v>160</v>
      </c>
      <c r="R26" s="3">
        <v>0</v>
      </c>
      <c r="S26" s="3">
        <f t="shared" si="1"/>
        <v>50</v>
      </c>
      <c r="T26" s="3">
        <v>75</v>
      </c>
      <c r="U26" s="3">
        <f t="shared" si="2"/>
        <v>75</v>
      </c>
      <c r="V26" s="3">
        <f t="shared" si="3"/>
        <v>0.66666666666666663</v>
      </c>
      <c r="W26" s="3">
        <f t="shared" si="4"/>
        <v>0.3010299956639812</v>
      </c>
      <c r="X26" s="3">
        <f t="shared" si="5"/>
        <v>0.20068666377598746</v>
      </c>
      <c r="Y26" s="3">
        <f t="shared" si="0"/>
        <v>2.2041199826559246</v>
      </c>
      <c r="Z26" s="3">
        <f t="shared" si="6"/>
        <v>2.4048066464319122</v>
      </c>
      <c r="AA26" s="3">
        <f t="shared" si="7"/>
        <v>253.98416831491193</v>
      </c>
      <c r="AB26" s="3">
        <v>254</v>
      </c>
    </row>
    <row r="27" spans="1:28" x14ac:dyDescent="0.2">
      <c r="A27" s="34" t="s">
        <v>89</v>
      </c>
      <c r="B27" s="3">
        <v>25</v>
      </c>
      <c r="C27" s="3" t="s">
        <v>26</v>
      </c>
      <c r="D27" s="3" t="s">
        <v>94</v>
      </c>
      <c r="E27" s="42" t="s">
        <v>65</v>
      </c>
      <c r="F27" s="42" t="s">
        <v>65</v>
      </c>
      <c r="G27" s="42" t="s">
        <v>65</v>
      </c>
      <c r="H27" s="42" t="s">
        <v>65</v>
      </c>
      <c r="I27" s="42" t="s">
        <v>76</v>
      </c>
      <c r="J27" s="42" t="s">
        <v>66</v>
      </c>
      <c r="K27" s="42" t="s">
        <v>66</v>
      </c>
      <c r="L27" s="42" t="s">
        <v>66</v>
      </c>
      <c r="M27" s="42" t="s">
        <v>66</v>
      </c>
      <c r="N27" s="42" t="s">
        <v>66</v>
      </c>
      <c r="O27" s="42" t="s">
        <v>66</v>
      </c>
      <c r="P27" s="42" t="s">
        <v>65</v>
      </c>
      <c r="Q27" s="3">
        <v>320</v>
      </c>
      <c r="R27" s="3">
        <v>25</v>
      </c>
      <c r="S27" s="3">
        <f t="shared" si="1"/>
        <v>25</v>
      </c>
      <c r="T27" s="3">
        <v>100</v>
      </c>
      <c r="U27" s="3">
        <f t="shared" si="2"/>
        <v>75</v>
      </c>
      <c r="V27" s="3">
        <f t="shared" si="3"/>
        <v>0.33333333333333331</v>
      </c>
      <c r="W27" s="3">
        <f t="shared" si="4"/>
        <v>0.3010299956639812</v>
      </c>
      <c r="X27" s="3">
        <f t="shared" si="5"/>
        <v>0.10034333188799373</v>
      </c>
      <c r="Y27" s="3">
        <f t="shared" si="0"/>
        <v>2.5051499783199058</v>
      </c>
      <c r="Z27" s="3">
        <f t="shared" si="6"/>
        <v>2.6054933102078994</v>
      </c>
      <c r="AA27" s="3">
        <f t="shared" si="7"/>
        <v>403.17473596635921</v>
      </c>
      <c r="AB27" s="3">
        <v>403</v>
      </c>
    </row>
    <row r="28" spans="1:28" x14ac:dyDescent="0.2">
      <c r="A28" s="34"/>
      <c r="B28" s="3">
        <v>26</v>
      </c>
      <c r="C28" s="3" t="s">
        <v>27</v>
      </c>
      <c r="D28" s="3" t="s">
        <v>94</v>
      </c>
      <c r="E28" s="42" t="s">
        <v>65</v>
      </c>
      <c r="F28" s="42" t="s">
        <v>65</v>
      </c>
      <c r="G28" s="42" t="s">
        <v>65</v>
      </c>
      <c r="H28" s="42" t="s">
        <v>65</v>
      </c>
      <c r="I28" s="42" t="s">
        <v>65</v>
      </c>
      <c r="J28" s="42" t="s">
        <v>65</v>
      </c>
      <c r="K28" s="42" t="s">
        <v>87</v>
      </c>
      <c r="L28" s="42" t="s">
        <v>66</v>
      </c>
      <c r="M28" s="42" t="s">
        <v>66</v>
      </c>
      <c r="N28" s="42" t="s">
        <v>66</v>
      </c>
      <c r="O28" s="42" t="s">
        <v>66</v>
      </c>
      <c r="P28" s="42" t="s">
        <v>65</v>
      </c>
      <c r="Q28" s="3">
        <v>1280</v>
      </c>
      <c r="R28" s="3">
        <v>50</v>
      </c>
      <c r="S28" s="3">
        <f t="shared" si="1"/>
        <v>0</v>
      </c>
      <c r="T28" s="3">
        <v>100</v>
      </c>
      <c r="U28" s="3">
        <f t="shared" si="2"/>
        <v>50</v>
      </c>
      <c r="V28" s="3">
        <f t="shared" si="3"/>
        <v>0</v>
      </c>
      <c r="W28" s="3">
        <f t="shared" si="4"/>
        <v>0.3010299956639812</v>
      </c>
      <c r="X28" s="3">
        <f t="shared" si="5"/>
        <v>0</v>
      </c>
      <c r="Y28" s="3">
        <f t="shared" si="0"/>
        <v>3.1072099696478683</v>
      </c>
      <c r="Z28" s="3">
        <f t="shared" si="6"/>
        <v>3.1072099696478683</v>
      </c>
      <c r="AA28" s="3">
        <f t="shared" si="7"/>
        <v>1280.0000000000011</v>
      </c>
      <c r="AB28" s="3">
        <v>1280</v>
      </c>
    </row>
    <row r="29" spans="1:28" x14ac:dyDescent="0.2">
      <c r="A29" s="34" t="s">
        <v>92</v>
      </c>
      <c r="B29" s="3">
        <v>27</v>
      </c>
      <c r="C29" s="3" t="s">
        <v>28</v>
      </c>
      <c r="D29" s="3" t="s">
        <v>94</v>
      </c>
      <c r="E29" s="42" t="s">
        <v>65</v>
      </c>
      <c r="F29" s="42" t="s">
        <v>65</v>
      </c>
      <c r="G29" s="42" t="s">
        <v>65</v>
      </c>
      <c r="H29" s="42" t="s">
        <v>67</v>
      </c>
      <c r="I29" s="42" t="s">
        <v>67</v>
      </c>
      <c r="J29" s="42" t="s">
        <v>66</v>
      </c>
      <c r="K29" s="42" t="s">
        <v>66</v>
      </c>
      <c r="L29" s="42" t="s">
        <v>66</v>
      </c>
      <c r="M29" s="42" t="s">
        <v>66</v>
      </c>
      <c r="N29" s="42" t="s">
        <v>66</v>
      </c>
      <c r="O29" s="42" t="s">
        <v>66</v>
      </c>
      <c r="P29" s="42" t="s">
        <v>65</v>
      </c>
      <c r="Q29" s="3">
        <v>320</v>
      </c>
      <c r="R29" s="3">
        <v>50</v>
      </c>
      <c r="S29" s="3">
        <f t="shared" si="1"/>
        <v>0</v>
      </c>
      <c r="T29" s="3">
        <v>100</v>
      </c>
      <c r="U29" s="3">
        <f t="shared" si="2"/>
        <v>50</v>
      </c>
      <c r="V29" s="3">
        <f t="shared" si="3"/>
        <v>0</v>
      </c>
      <c r="W29" s="3">
        <f t="shared" si="4"/>
        <v>0.3010299956639812</v>
      </c>
      <c r="X29" s="3">
        <f t="shared" si="5"/>
        <v>0</v>
      </c>
      <c r="Y29" s="3">
        <f t="shared" si="0"/>
        <v>2.5051499783199058</v>
      </c>
      <c r="Z29" s="3">
        <f t="shared" si="6"/>
        <v>2.5051499783199058</v>
      </c>
      <c r="AA29" s="3">
        <f t="shared" si="7"/>
        <v>319.99999999999994</v>
      </c>
      <c r="AB29" s="3">
        <v>320</v>
      </c>
    </row>
    <row r="30" spans="1:28" x14ac:dyDescent="0.2">
      <c r="A30" s="34"/>
      <c r="B30" s="3">
        <v>28</v>
      </c>
      <c r="C30" s="3" t="s">
        <v>29</v>
      </c>
      <c r="D30" s="3" t="s">
        <v>94</v>
      </c>
      <c r="E30" s="42" t="s">
        <v>65</v>
      </c>
      <c r="F30" s="42" t="s">
        <v>65</v>
      </c>
      <c r="G30" s="42" t="s">
        <v>65</v>
      </c>
      <c r="H30" s="42" t="s">
        <v>65</v>
      </c>
      <c r="I30" s="42" t="s">
        <v>74</v>
      </c>
      <c r="J30" s="42" t="s">
        <v>90</v>
      </c>
      <c r="K30" s="42" t="s">
        <v>66</v>
      </c>
      <c r="L30" s="42" t="s">
        <v>66</v>
      </c>
      <c r="M30" s="42" t="s">
        <v>66</v>
      </c>
      <c r="N30" s="42" t="s">
        <v>66</v>
      </c>
      <c r="O30" s="42" t="s">
        <v>66</v>
      </c>
      <c r="P30" s="42" t="s">
        <v>65</v>
      </c>
      <c r="Q30" s="3">
        <v>320</v>
      </c>
      <c r="R30" s="3">
        <v>0</v>
      </c>
      <c r="S30" s="3">
        <f t="shared" si="1"/>
        <v>50</v>
      </c>
      <c r="T30" s="3">
        <v>100</v>
      </c>
      <c r="U30" s="3">
        <f t="shared" si="2"/>
        <v>100</v>
      </c>
      <c r="V30" s="3">
        <f t="shared" si="3"/>
        <v>0.5</v>
      </c>
      <c r="W30" s="3">
        <f t="shared" si="4"/>
        <v>0.3010299956639812</v>
      </c>
      <c r="X30" s="3">
        <f t="shared" si="5"/>
        <v>0.1505149978319906</v>
      </c>
      <c r="Y30" s="3">
        <f t="shared" si="0"/>
        <v>2.5051499783199058</v>
      </c>
      <c r="Z30" s="3">
        <f t="shared" si="6"/>
        <v>2.6556649761518965</v>
      </c>
      <c r="AA30" s="3">
        <f t="shared" si="7"/>
        <v>452.54833995939072</v>
      </c>
      <c r="AB30" s="3">
        <v>453</v>
      </c>
    </row>
    <row r="31" spans="1:28" x14ac:dyDescent="0.2">
      <c r="A31" s="34" t="s">
        <v>93</v>
      </c>
      <c r="B31" s="3">
        <v>29</v>
      </c>
      <c r="C31" s="3" t="s">
        <v>30</v>
      </c>
      <c r="D31" s="3" t="s">
        <v>94</v>
      </c>
      <c r="E31" s="42" t="s">
        <v>66</v>
      </c>
      <c r="F31" s="42" t="s">
        <v>66</v>
      </c>
      <c r="G31" s="42" t="s">
        <v>66</v>
      </c>
      <c r="H31" s="42" t="s">
        <v>66</v>
      </c>
      <c r="I31" s="42" t="s">
        <v>66</v>
      </c>
      <c r="J31" s="42" t="s">
        <v>66</v>
      </c>
      <c r="K31" s="42" t="s">
        <v>66</v>
      </c>
      <c r="L31" s="42" t="s">
        <v>66</v>
      </c>
      <c r="M31" s="42" t="s">
        <v>66</v>
      </c>
      <c r="N31" s="42" t="s">
        <v>66</v>
      </c>
      <c r="O31" s="42" t="s">
        <v>66</v>
      </c>
      <c r="P31" s="42" t="s">
        <v>65</v>
      </c>
      <c r="Q31" s="3">
        <v>10</v>
      </c>
      <c r="R31" s="3">
        <v>0</v>
      </c>
      <c r="S31" s="3">
        <f t="shared" si="1"/>
        <v>50</v>
      </c>
      <c r="T31" s="3">
        <v>100</v>
      </c>
      <c r="U31" s="3">
        <f t="shared" si="2"/>
        <v>100</v>
      </c>
      <c r="V31" s="3">
        <f t="shared" si="3"/>
        <v>0.5</v>
      </c>
      <c r="W31" s="3">
        <f t="shared" si="4"/>
        <v>0.3010299956639812</v>
      </c>
      <c r="X31" s="3">
        <f t="shared" si="5"/>
        <v>0.1505149978319906</v>
      </c>
      <c r="Y31" s="3">
        <f t="shared" si="0"/>
        <v>1</v>
      </c>
      <c r="Z31" s="3">
        <f t="shared" si="6"/>
        <v>1.1505149978319906</v>
      </c>
      <c r="AA31" s="3">
        <f t="shared" si="7"/>
        <v>14.142135623730955</v>
      </c>
      <c r="AB31" s="3" t="s">
        <v>116</v>
      </c>
    </row>
    <row r="32" spans="1:28" x14ac:dyDescent="0.2">
      <c r="A32" s="34"/>
      <c r="B32" s="3">
        <v>30</v>
      </c>
      <c r="C32" s="3" t="s">
        <v>31</v>
      </c>
      <c r="D32" s="3" t="s">
        <v>94</v>
      </c>
      <c r="E32" s="42" t="s">
        <v>66</v>
      </c>
      <c r="F32" s="42" t="s">
        <v>66</v>
      </c>
      <c r="G32" s="42" t="s">
        <v>66</v>
      </c>
      <c r="H32" s="42" t="s">
        <v>66</v>
      </c>
      <c r="I32" s="42" t="s">
        <v>66</v>
      </c>
      <c r="J32" s="42" t="s">
        <v>66</v>
      </c>
      <c r="K32" s="42" t="s">
        <v>66</v>
      </c>
      <c r="L32" s="42" t="s">
        <v>66</v>
      </c>
      <c r="M32" s="42" t="s">
        <v>66</v>
      </c>
      <c r="N32" s="42" t="s">
        <v>66</v>
      </c>
      <c r="O32" s="42" t="s">
        <v>66</v>
      </c>
      <c r="P32" s="42" t="s">
        <v>65</v>
      </c>
      <c r="Q32" s="3">
        <v>10</v>
      </c>
      <c r="R32" s="3">
        <v>0</v>
      </c>
      <c r="S32" s="3">
        <f t="shared" si="1"/>
        <v>50</v>
      </c>
      <c r="T32" s="3">
        <v>100</v>
      </c>
      <c r="U32" s="3">
        <f t="shared" si="2"/>
        <v>100</v>
      </c>
      <c r="V32" s="3">
        <f t="shared" si="3"/>
        <v>0.5</v>
      </c>
      <c r="W32" s="3">
        <f t="shared" si="4"/>
        <v>0.3010299956639812</v>
      </c>
      <c r="X32" s="3">
        <f t="shared" si="5"/>
        <v>0.1505149978319906</v>
      </c>
      <c r="Y32" s="3">
        <f t="shared" si="0"/>
        <v>1</v>
      </c>
      <c r="Z32" s="3">
        <f t="shared" si="6"/>
        <v>1.1505149978319906</v>
      </c>
      <c r="AA32" s="3">
        <f t="shared" si="7"/>
        <v>14.142135623730955</v>
      </c>
      <c r="AB32" s="3" t="s">
        <v>116</v>
      </c>
    </row>
  </sheetData>
  <mergeCells count="15">
    <mergeCell ref="A27:A28"/>
    <mergeCell ref="A29:A30"/>
    <mergeCell ref="A31:A32"/>
    <mergeCell ref="A15:A16"/>
    <mergeCell ref="A17:A18"/>
    <mergeCell ref="A19:A20"/>
    <mergeCell ref="A21:A22"/>
    <mergeCell ref="A23:A24"/>
    <mergeCell ref="A25:A26"/>
    <mergeCell ref="A3:A4"/>
    <mergeCell ref="A5:A6"/>
    <mergeCell ref="A7:A8"/>
    <mergeCell ref="A9:A10"/>
    <mergeCell ref="A11:A12"/>
    <mergeCell ref="A13:A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B18B0-A77B-4314-91D1-78BDB1DFA687}">
  <dimension ref="A1:R52"/>
  <sheetViews>
    <sheetView workbookViewId="0">
      <selection activeCell="L45" sqref="L45"/>
    </sheetView>
  </sheetViews>
  <sheetFormatPr defaultRowHeight="14.25" x14ac:dyDescent="0.2"/>
  <sheetData>
    <row r="1" spans="1:18" ht="16.5" thickBot="1" x14ac:dyDescent="0.3">
      <c r="A1" s="43"/>
      <c r="B1" s="44"/>
      <c r="C1" s="44"/>
      <c r="D1" s="153">
        <v>1</v>
      </c>
      <c r="E1" s="153">
        <v>2</v>
      </c>
      <c r="F1" s="153">
        <v>3</v>
      </c>
      <c r="G1" s="153">
        <v>4</v>
      </c>
      <c r="H1" s="153">
        <v>5</v>
      </c>
      <c r="I1" s="153">
        <v>6</v>
      </c>
      <c r="J1" s="153">
        <v>7</v>
      </c>
      <c r="K1" s="153">
        <v>8</v>
      </c>
      <c r="L1" s="153">
        <v>9</v>
      </c>
      <c r="M1" s="153">
        <v>10</v>
      </c>
      <c r="N1" s="153">
        <v>11</v>
      </c>
      <c r="O1" s="153">
        <v>12</v>
      </c>
      <c r="P1" s="44"/>
      <c r="Q1" s="45"/>
      <c r="R1" s="45"/>
    </row>
    <row r="2" spans="1:18" ht="16.5" customHeight="1" x14ac:dyDescent="0.2">
      <c r="A2" s="46" t="s">
        <v>117</v>
      </c>
      <c r="B2" s="47" t="s">
        <v>118</v>
      </c>
      <c r="C2" s="150" t="s">
        <v>119</v>
      </c>
      <c r="D2" s="154" t="s">
        <v>94</v>
      </c>
      <c r="E2" s="155" t="s">
        <v>120</v>
      </c>
      <c r="F2" s="156" t="s">
        <v>121</v>
      </c>
      <c r="G2" s="156" t="s">
        <v>122</v>
      </c>
      <c r="H2" s="156" t="s">
        <v>123</v>
      </c>
      <c r="I2" s="157" t="s">
        <v>124</v>
      </c>
      <c r="J2" s="162" t="s">
        <v>94</v>
      </c>
      <c r="K2" s="163" t="s">
        <v>120</v>
      </c>
      <c r="L2" s="164" t="s">
        <v>121</v>
      </c>
      <c r="M2" s="164" t="s">
        <v>122</v>
      </c>
      <c r="N2" s="164" t="s">
        <v>123</v>
      </c>
      <c r="O2" s="165" t="s">
        <v>124</v>
      </c>
      <c r="P2" s="151" t="s">
        <v>125</v>
      </c>
      <c r="Q2" s="45"/>
      <c r="R2" s="45"/>
    </row>
    <row r="3" spans="1:18" ht="16.5" thickBot="1" x14ac:dyDescent="0.25">
      <c r="A3" s="46"/>
      <c r="B3" s="47" t="s">
        <v>126</v>
      </c>
      <c r="C3" s="150"/>
      <c r="D3" s="158" t="s">
        <v>94</v>
      </c>
      <c r="E3" s="159" t="s">
        <v>120</v>
      </c>
      <c r="F3" s="160" t="s">
        <v>121</v>
      </c>
      <c r="G3" s="160" t="s">
        <v>122</v>
      </c>
      <c r="H3" s="160" t="s">
        <v>123</v>
      </c>
      <c r="I3" s="161" t="s">
        <v>124</v>
      </c>
      <c r="J3" s="166" t="s">
        <v>94</v>
      </c>
      <c r="K3" s="167" t="s">
        <v>120</v>
      </c>
      <c r="L3" s="168" t="s">
        <v>121</v>
      </c>
      <c r="M3" s="168" t="s">
        <v>122</v>
      </c>
      <c r="N3" s="168" t="s">
        <v>123</v>
      </c>
      <c r="O3" s="169" t="s">
        <v>124</v>
      </c>
      <c r="P3" s="151"/>
      <c r="Q3" s="45"/>
      <c r="R3" s="45"/>
    </row>
    <row r="4" spans="1:18" ht="15.75" x14ac:dyDescent="0.2">
      <c r="A4" s="46"/>
      <c r="B4" s="47" t="s">
        <v>127</v>
      </c>
      <c r="C4" s="151" t="s">
        <v>128</v>
      </c>
      <c r="D4" s="162" t="s">
        <v>94</v>
      </c>
      <c r="E4" s="163" t="s">
        <v>120</v>
      </c>
      <c r="F4" s="164" t="s">
        <v>121</v>
      </c>
      <c r="G4" s="164" t="s">
        <v>122</v>
      </c>
      <c r="H4" s="164" t="s">
        <v>123</v>
      </c>
      <c r="I4" s="165" t="s">
        <v>124</v>
      </c>
      <c r="J4" s="170" t="s">
        <v>94</v>
      </c>
      <c r="K4" s="171" t="s">
        <v>120</v>
      </c>
      <c r="L4" s="172" t="s">
        <v>121</v>
      </c>
      <c r="M4" s="172" t="s">
        <v>122</v>
      </c>
      <c r="N4" s="172" t="s">
        <v>123</v>
      </c>
      <c r="O4" s="173" t="s">
        <v>124</v>
      </c>
      <c r="P4" s="152" t="s">
        <v>129</v>
      </c>
      <c r="Q4" s="45"/>
      <c r="R4" s="45"/>
    </row>
    <row r="5" spans="1:18" ht="16.5" thickBot="1" x14ac:dyDescent="0.25">
      <c r="A5" s="46"/>
      <c r="B5" s="47" t="s">
        <v>130</v>
      </c>
      <c r="C5" s="151"/>
      <c r="D5" s="166" t="s">
        <v>94</v>
      </c>
      <c r="E5" s="167" t="s">
        <v>120</v>
      </c>
      <c r="F5" s="168" t="s">
        <v>121</v>
      </c>
      <c r="G5" s="168" t="s">
        <v>122</v>
      </c>
      <c r="H5" s="168" t="s">
        <v>123</v>
      </c>
      <c r="I5" s="169" t="s">
        <v>124</v>
      </c>
      <c r="J5" s="174" t="s">
        <v>94</v>
      </c>
      <c r="K5" s="175" t="s">
        <v>120</v>
      </c>
      <c r="L5" s="176" t="s">
        <v>121</v>
      </c>
      <c r="M5" s="176" t="s">
        <v>122</v>
      </c>
      <c r="N5" s="176" t="s">
        <v>123</v>
      </c>
      <c r="O5" s="177" t="s">
        <v>124</v>
      </c>
      <c r="P5" s="152"/>
      <c r="Q5" s="45"/>
      <c r="R5" s="45"/>
    </row>
    <row r="6" spans="1:18" ht="15.75" x14ac:dyDescent="0.2">
      <c r="A6" s="46"/>
      <c r="B6" s="47" t="s">
        <v>131</v>
      </c>
      <c r="C6" s="152" t="s">
        <v>132</v>
      </c>
      <c r="D6" s="170" t="s">
        <v>94</v>
      </c>
      <c r="E6" s="171" t="s">
        <v>120</v>
      </c>
      <c r="F6" s="172" t="s">
        <v>121</v>
      </c>
      <c r="G6" s="172" t="s">
        <v>122</v>
      </c>
      <c r="H6" s="172" t="s">
        <v>123</v>
      </c>
      <c r="I6" s="173" t="s">
        <v>124</v>
      </c>
      <c r="J6" s="154" t="s">
        <v>94</v>
      </c>
      <c r="K6" s="155" t="s">
        <v>120</v>
      </c>
      <c r="L6" s="156" t="s">
        <v>121</v>
      </c>
      <c r="M6" s="156" t="s">
        <v>122</v>
      </c>
      <c r="N6" s="156" t="s">
        <v>123</v>
      </c>
      <c r="O6" s="157" t="s">
        <v>124</v>
      </c>
      <c r="P6" s="150" t="s">
        <v>133</v>
      </c>
      <c r="Q6" s="45"/>
      <c r="R6" s="45"/>
    </row>
    <row r="7" spans="1:18" ht="16.5" thickBot="1" x14ac:dyDescent="0.25">
      <c r="A7" s="46"/>
      <c r="B7" s="47" t="s">
        <v>134</v>
      </c>
      <c r="C7" s="152"/>
      <c r="D7" s="174" t="s">
        <v>94</v>
      </c>
      <c r="E7" s="175" t="s">
        <v>120</v>
      </c>
      <c r="F7" s="176" t="s">
        <v>121</v>
      </c>
      <c r="G7" s="176" t="s">
        <v>122</v>
      </c>
      <c r="H7" s="176" t="s">
        <v>123</v>
      </c>
      <c r="I7" s="177" t="s">
        <v>124</v>
      </c>
      <c r="J7" s="158" t="s">
        <v>94</v>
      </c>
      <c r="K7" s="159" t="s">
        <v>120</v>
      </c>
      <c r="L7" s="160" t="s">
        <v>121</v>
      </c>
      <c r="M7" s="160" t="s">
        <v>122</v>
      </c>
      <c r="N7" s="160" t="s">
        <v>123</v>
      </c>
      <c r="O7" s="161" t="s">
        <v>124</v>
      </c>
      <c r="P7" s="150"/>
      <c r="Q7" s="45"/>
      <c r="R7" s="45"/>
    </row>
    <row r="8" spans="1:18" ht="16.5" customHeight="1" x14ac:dyDescent="0.2">
      <c r="A8" s="46"/>
      <c r="B8" s="47" t="s">
        <v>135</v>
      </c>
      <c r="C8" s="150" t="s">
        <v>136</v>
      </c>
      <c r="D8" s="154" t="s">
        <v>94</v>
      </c>
      <c r="E8" s="155" t="s">
        <v>120</v>
      </c>
      <c r="F8" s="156" t="s">
        <v>121</v>
      </c>
      <c r="G8" s="156" t="s">
        <v>122</v>
      </c>
      <c r="H8" s="156" t="s">
        <v>123</v>
      </c>
      <c r="I8" s="157" t="s">
        <v>124</v>
      </c>
      <c r="J8" s="178" t="s">
        <v>137</v>
      </c>
      <c r="K8" s="179"/>
      <c r="L8" s="179"/>
      <c r="M8" s="179"/>
      <c r="N8" s="180"/>
      <c r="O8" s="184" t="s">
        <v>138</v>
      </c>
      <c r="P8" s="68"/>
      <c r="Q8" s="45"/>
      <c r="R8" s="45"/>
    </row>
    <row r="9" spans="1:18" ht="16.5" thickBot="1" x14ac:dyDescent="0.25">
      <c r="A9" s="46"/>
      <c r="B9" s="47" t="s">
        <v>139</v>
      </c>
      <c r="C9" s="150"/>
      <c r="D9" s="158" t="s">
        <v>94</v>
      </c>
      <c r="E9" s="159" t="s">
        <v>120</v>
      </c>
      <c r="F9" s="160" t="s">
        <v>121</v>
      </c>
      <c r="G9" s="160" t="s">
        <v>122</v>
      </c>
      <c r="H9" s="160" t="s">
        <v>123</v>
      </c>
      <c r="I9" s="161" t="s">
        <v>124</v>
      </c>
      <c r="J9" s="181"/>
      <c r="K9" s="182"/>
      <c r="L9" s="182"/>
      <c r="M9" s="182"/>
      <c r="N9" s="183"/>
      <c r="O9" s="185"/>
      <c r="P9" s="68"/>
      <c r="Q9" s="45"/>
      <c r="R9" s="45"/>
    </row>
    <row r="10" spans="1:18" ht="15.75" x14ac:dyDescent="0.2">
      <c r="A10" s="48"/>
      <c r="B10" s="47"/>
      <c r="C10" s="49"/>
      <c r="D10" s="50"/>
      <c r="E10" s="50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4"/>
      <c r="Q10" s="45"/>
      <c r="R10" s="45"/>
    </row>
    <row r="11" spans="1:18" ht="15.75" x14ac:dyDescent="0.2">
      <c r="A11" s="48"/>
      <c r="B11" s="47"/>
      <c r="C11" s="49"/>
      <c r="D11" s="51">
        <v>20</v>
      </c>
      <c r="E11" s="52">
        <v>40</v>
      </c>
      <c r="F11" s="52">
        <v>80</v>
      </c>
      <c r="G11" s="53">
        <v>160</v>
      </c>
      <c r="H11" s="53">
        <v>320</v>
      </c>
      <c r="I11" s="53">
        <v>640</v>
      </c>
      <c r="J11" s="51">
        <v>20</v>
      </c>
      <c r="K11" s="52">
        <v>40</v>
      </c>
      <c r="L11" s="52">
        <v>80</v>
      </c>
      <c r="M11" s="53">
        <v>160</v>
      </c>
      <c r="N11" s="53">
        <v>320</v>
      </c>
      <c r="O11" s="53">
        <v>640</v>
      </c>
      <c r="P11" s="54"/>
      <c r="Q11" s="45"/>
      <c r="R11" s="45"/>
    </row>
    <row r="12" spans="1:18" ht="16.5" thickBot="1" x14ac:dyDescent="0.25">
      <c r="A12" s="55" t="s">
        <v>58</v>
      </c>
      <c r="B12" s="55" t="s">
        <v>140</v>
      </c>
      <c r="C12" s="55" t="s">
        <v>141</v>
      </c>
      <c r="D12" s="56">
        <v>1</v>
      </c>
      <c r="E12" s="57">
        <v>2</v>
      </c>
      <c r="F12" s="57">
        <v>3</v>
      </c>
      <c r="G12" s="57">
        <v>4</v>
      </c>
      <c r="H12" s="57">
        <v>5</v>
      </c>
      <c r="I12" s="57">
        <v>6</v>
      </c>
      <c r="J12" s="56">
        <v>7</v>
      </c>
      <c r="K12" s="57">
        <v>8</v>
      </c>
      <c r="L12" s="57">
        <v>9</v>
      </c>
      <c r="M12" s="57">
        <v>10</v>
      </c>
      <c r="N12" s="57">
        <v>11</v>
      </c>
      <c r="O12" s="57">
        <v>12</v>
      </c>
      <c r="P12" s="58" t="s">
        <v>140</v>
      </c>
      <c r="Q12" s="55" t="s">
        <v>142</v>
      </c>
      <c r="R12" s="59" t="s">
        <v>143</v>
      </c>
    </row>
    <row r="13" spans="1:18" x14ac:dyDescent="0.2">
      <c r="A13" s="60">
        <v>1</v>
      </c>
      <c r="B13" s="60">
        <f>(A13-1)*7+1</f>
        <v>1</v>
      </c>
      <c r="C13" s="61" t="s">
        <v>118</v>
      </c>
      <c r="D13" s="187">
        <v>2</v>
      </c>
      <c r="E13" s="188">
        <v>12</v>
      </c>
      <c r="F13" s="188">
        <v>40</v>
      </c>
      <c r="G13" s="188">
        <v>76</v>
      </c>
      <c r="H13" s="188">
        <v>87</v>
      </c>
      <c r="I13" s="189">
        <v>104</v>
      </c>
      <c r="J13" s="192">
        <v>0</v>
      </c>
      <c r="K13" s="193">
        <v>14</v>
      </c>
      <c r="L13" s="193">
        <v>44</v>
      </c>
      <c r="M13" s="193">
        <v>68</v>
      </c>
      <c r="N13" s="193">
        <v>74</v>
      </c>
      <c r="O13" s="194">
        <v>118</v>
      </c>
      <c r="P13" s="62">
        <f>B13+4</f>
        <v>5</v>
      </c>
      <c r="Q13" s="60">
        <f>AVERAGE(J19:N20)</f>
        <v>128.30000000000001</v>
      </c>
      <c r="R13" s="60">
        <f>AVERAGE(O19:O20)</f>
        <v>1</v>
      </c>
    </row>
    <row r="14" spans="1:18" ht="15" thickBot="1" x14ac:dyDescent="0.25">
      <c r="A14" s="60"/>
      <c r="B14" s="60"/>
      <c r="C14" s="45" t="s">
        <v>126</v>
      </c>
      <c r="D14" s="190">
        <v>2</v>
      </c>
      <c r="E14" s="191">
        <v>14</v>
      </c>
      <c r="F14" s="191">
        <v>23</v>
      </c>
      <c r="G14" s="191">
        <v>56</v>
      </c>
      <c r="H14" s="191">
        <v>82</v>
      </c>
      <c r="I14" s="75">
        <v>92</v>
      </c>
      <c r="J14" s="195">
        <v>2</v>
      </c>
      <c r="K14" s="196">
        <v>14</v>
      </c>
      <c r="L14" s="196">
        <v>32</v>
      </c>
      <c r="M14" s="196">
        <v>67</v>
      </c>
      <c r="N14" s="196">
        <v>83</v>
      </c>
      <c r="O14" s="197">
        <v>92</v>
      </c>
      <c r="P14" s="62"/>
      <c r="Q14" s="33"/>
      <c r="R14" s="33"/>
    </row>
    <row r="15" spans="1:18" x14ac:dyDescent="0.2">
      <c r="A15" s="60"/>
      <c r="B15" s="33">
        <f>B13+1</f>
        <v>2</v>
      </c>
      <c r="C15" s="45" t="s">
        <v>127</v>
      </c>
      <c r="D15" s="192">
        <v>36</v>
      </c>
      <c r="E15" s="193">
        <v>41</v>
      </c>
      <c r="F15" s="193">
        <v>71</v>
      </c>
      <c r="G15" s="193">
        <v>77</v>
      </c>
      <c r="H15" s="193">
        <v>97</v>
      </c>
      <c r="I15" s="194">
        <v>98</v>
      </c>
      <c r="J15" s="198">
        <v>22</v>
      </c>
      <c r="K15" s="199">
        <v>32</v>
      </c>
      <c r="L15" s="199">
        <v>73</v>
      </c>
      <c r="M15" s="199">
        <v>82</v>
      </c>
      <c r="N15" s="199">
        <v>93</v>
      </c>
      <c r="O15" s="200">
        <v>137</v>
      </c>
      <c r="P15" s="63">
        <f t="shared" ref="P15" si="0">B15+4</f>
        <v>6</v>
      </c>
      <c r="Q15" s="33"/>
      <c r="R15" s="33"/>
    </row>
    <row r="16" spans="1:18" ht="15" thickBot="1" x14ac:dyDescent="0.25">
      <c r="A16" s="60"/>
      <c r="B16" s="33"/>
      <c r="C16" s="45" t="s">
        <v>130</v>
      </c>
      <c r="D16" s="195">
        <v>31</v>
      </c>
      <c r="E16" s="196">
        <v>31</v>
      </c>
      <c r="F16" s="196">
        <v>68</v>
      </c>
      <c r="G16" s="196">
        <v>77</v>
      </c>
      <c r="H16" s="196">
        <v>108</v>
      </c>
      <c r="I16" s="197">
        <v>86</v>
      </c>
      <c r="J16" s="201">
        <v>23</v>
      </c>
      <c r="K16" s="202">
        <v>48</v>
      </c>
      <c r="L16" s="202">
        <v>68</v>
      </c>
      <c r="M16" s="202">
        <v>72</v>
      </c>
      <c r="N16" s="202">
        <v>92</v>
      </c>
      <c r="O16" s="203">
        <v>122</v>
      </c>
      <c r="P16" s="63"/>
      <c r="Q16" s="33"/>
      <c r="R16" s="33"/>
    </row>
    <row r="17" spans="1:18" x14ac:dyDescent="0.2">
      <c r="A17" s="60"/>
      <c r="B17" s="33">
        <f t="shared" ref="B17" si="1">B15+1</f>
        <v>3</v>
      </c>
      <c r="C17" s="45" t="s">
        <v>131</v>
      </c>
      <c r="D17" s="198">
        <v>1</v>
      </c>
      <c r="E17" s="199">
        <v>1</v>
      </c>
      <c r="F17" s="199">
        <v>7</v>
      </c>
      <c r="G17" s="199">
        <v>26</v>
      </c>
      <c r="H17" s="199">
        <v>31</v>
      </c>
      <c r="I17" s="200">
        <v>61</v>
      </c>
      <c r="J17" s="187">
        <v>3</v>
      </c>
      <c r="K17" s="188">
        <v>2</v>
      </c>
      <c r="L17" s="188">
        <v>13</v>
      </c>
      <c r="M17" s="188">
        <v>32</v>
      </c>
      <c r="N17" s="188">
        <v>56</v>
      </c>
      <c r="O17" s="189">
        <v>94</v>
      </c>
      <c r="P17" s="63">
        <f t="shared" ref="P17" si="2">B17+4</f>
        <v>7</v>
      </c>
      <c r="Q17" s="33"/>
      <c r="R17" s="33"/>
    </row>
    <row r="18" spans="1:18" ht="15" thickBot="1" x14ac:dyDescent="0.25">
      <c r="A18" s="60"/>
      <c r="B18" s="33"/>
      <c r="C18" s="45" t="s">
        <v>134</v>
      </c>
      <c r="D18" s="201">
        <v>6</v>
      </c>
      <c r="E18" s="202">
        <v>0</v>
      </c>
      <c r="F18" s="202">
        <v>3</v>
      </c>
      <c r="G18" s="202">
        <v>21</v>
      </c>
      <c r="H18" s="202">
        <v>33</v>
      </c>
      <c r="I18" s="203">
        <v>52</v>
      </c>
      <c r="J18" s="190">
        <v>0</v>
      </c>
      <c r="K18" s="191">
        <v>4</v>
      </c>
      <c r="L18" s="191">
        <v>20</v>
      </c>
      <c r="M18" s="191">
        <v>28</v>
      </c>
      <c r="N18" s="191">
        <v>64</v>
      </c>
      <c r="O18" s="75">
        <v>72</v>
      </c>
      <c r="P18" s="63"/>
      <c r="Q18" s="33"/>
      <c r="R18" s="33"/>
    </row>
    <row r="19" spans="1:18" x14ac:dyDescent="0.2">
      <c r="A19" s="60"/>
      <c r="B19" s="33">
        <f t="shared" ref="B19" si="3">B17+1</f>
        <v>4</v>
      </c>
      <c r="C19" s="45" t="s">
        <v>135</v>
      </c>
      <c r="D19" s="187">
        <v>29</v>
      </c>
      <c r="E19" s="188">
        <v>24</v>
      </c>
      <c r="F19" s="188">
        <v>51</v>
      </c>
      <c r="G19" s="188">
        <v>81</v>
      </c>
      <c r="H19" s="188">
        <v>100</v>
      </c>
      <c r="I19" s="189">
        <v>106</v>
      </c>
      <c r="J19" s="204">
        <v>134</v>
      </c>
      <c r="K19" s="205">
        <v>114</v>
      </c>
      <c r="L19" s="205">
        <v>116</v>
      </c>
      <c r="M19" s="205">
        <v>133</v>
      </c>
      <c r="N19" s="206">
        <v>108</v>
      </c>
      <c r="O19" s="210">
        <v>0</v>
      </c>
      <c r="P19" s="63" t="s">
        <v>144</v>
      </c>
      <c r="Q19" s="33"/>
      <c r="R19" s="33"/>
    </row>
    <row r="20" spans="1:18" ht="15" thickBot="1" x14ac:dyDescent="0.25">
      <c r="A20" s="60"/>
      <c r="B20" s="33"/>
      <c r="C20" s="64" t="s">
        <v>139</v>
      </c>
      <c r="D20" s="190">
        <v>32</v>
      </c>
      <c r="E20" s="191">
        <v>52</v>
      </c>
      <c r="F20" s="191">
        <v>80</v>
      </c>
      <c r="G20" s="191">
        <v>91</v>
      </c>
      <c r="H20" s="191">
        <v>101</v>
      </c>
      <c r="I20" s="75">
        <v>116</v>
      </c>
      <c r="J20" s="207">
        <v>118</v>
      </c>
      <c r="K20" s="208">
        <v>147</v>
      </c>
      <c r="L20" s="208">
        <v>107</v>
      </c>
      <c r="M20" s="208">
        <v>176</v>
      </c>
      <c r="N20" s="209">
        <v>130</v>
      </c>
      <c r="O20" s="211">
        <v>2</v>
      </c>
      <c r="P20" s="63"/>
      <c r="Q20" s="65"/>
      <c r="R20" s="65"/>
    </row>
    <row r="21" spans="1:18" x14ac:dyDescent="0.2">
      <c r="A21" s="60">
        <v>2</v>
      </c>
      <c r="B21" s="60">
        <f>(A21-1)*7+1</f>
        <v>8</v>
      </c>
      <c r="C21" s="61" t="s">
        <v>118</v>
      </c>
      <c r="D21" s="187">
        <v>59</v>
      </c>
      <c r="E21" s="188">
        <v>101</v>
      </c>
      <c r="F21" s="188">
        <v>96</v>
      </c>
      <c r="G21" s="188">
        <v>119</v>
      </c>
      <c r="H21" s="188">
        <v>120</v>
      </c>
      <c r="I21" s="189">
        <v>124</v>
      </c>
      <c r="J21" s="192">
        <v>18</v>
      </c>
      <c r="K21" s="193">
        <v>40</v>
      </c>
      <c r="L21" s="193">
        <v>68</v>
      </c>
      <c r="M21" s="193">
        <v>100</v>
      </c>
      <c r="N21" s="193">
        <v>99</v>
      </c>
      <c r="O21" s="194">
        <v>116</v>
      </c>
      <c r="P21" s="62">
        <f>B21+4</f>
        <v>12</v>
      </c>
      <c r="Q21" s="60">
        <f t="shared" ref="Q21" si="4">AVERAGE(J27:N28)</f>
        <v>115.5</v>
      </c>
      <c r="R21" s="60">
        <f t="shared" ref="R21" si="5">AVERAGE(O27:O28)</f>
        <v>1</v>
      </c>
    </row>
    <row r="22" spans="1:18" ht="15" thickBot="1" x14ac:dyDescent="0.25">
      <c r="A22" s="60"/>
      <c r="B22" s="60"/>
      <c r="C22" s="45" t="s">
        <v>126</v>
      </c>
      <c r="D22" s="190">
        <v>64</v>
      </c>
      <c r="E22" s="191">
        <v>71</v>
      </c>
      <c r="F22" s="191">
        <v>103</v>
      </c>
      <c r="G22" s="191">
        <v>109</v>
      </c>
      <c r="H22" s="191">
        <v>117</v>
      </c>
      <c r="I22" s="75">
        <v>128</v>
      </c>
      <c r="J22" s="195">
        <v>16</v>
      </c>
      <c r="K22" s="196">
        <v>39</v>
      </c>
      <c r="L22" s="196">
        <v>51</v>
      </c>
      <c r="M22" s="196">
        <v>62</v>
      </c>
      <c r="N22" s="196">
        <v>104</v>
      </c>
      <c r="O22" s="197">
        <v>110</v>
      </c>
      <c r="P22" s="62"/>
      <c r="Q22" s="33"/>
      <c r="R22" s="33"/>
    </row>
    <row r="23" spans="1:18" x14ac:dyDescent="0.2">
      <c r="A23" s="60"/>
      <c r="B23" s="33">
        <f>B21+1</f>
        <v>9</v>
      </c>
      <c r="C23" s="45" t="s">
        <v>127</v>
      </c>
      <c r="D23" s="192">
        <v>3</v>
      </c>
      <c r="E23" s="193">
        <v>6</v>
      </c>
      <c r="F23" s="193">
        <v>0</v>
      </c>
      <c r="G23" s="193">
        <v>1</v>
      </c>
      <c r="H23" s="193">
        <v>18</v>
      </c>
      <c r="I23" s="194">
        <v>53</v>
      </c>
      <c r="J23" s="198">
        <v>0</v>
      </c>
      <c r="K23" s="199">
        <v>2</v>
      </c>
      <c r="L23" s="199">
        <v>7</v>
      </c>
      <c r="M23" s="199">
        <v>29</v>
      </c>
      <c r="N23" s="199">
        <v>46</v>
      </c>
      <c r="O23" s="200">
        <v>84</v>
      </c>
      <c r="P23" s="63">
        <f t="shared" ref="P23" si="6">B23+4</f>
        <v>13</v>
      </c>
      <c r="Q23" s="33"/>
      <c r="R23" s="33"/>
    </row>
    <row r="24" spans="1:18" ht="15" thickBot="1" x14ac:dyDescent="0.25">
      <c r="A24" s="60"/>
      <c r="B24" s="33"/>
      <c r="C24" s="45" t="s">
        <v>130</v>
      </c>
      <c r="D24" s="195">
        <v>1</v>
      </c>
      <c r="E24" s="196">
        <v>0</v>
      </c>
      <c r="F24" s="196">
        <v>2</v>
      </c>
      <c r="G24" s="196">
        <v>18</v>
      </c>
      <c r="H24" s="196">
        <v>20</v>
      </c>
      <c r="I24" s="197">
        <v>53</v>
      </c>
      <c r="J24" s="201">
        <v>0</v>
      </c>
      <c r="K24" s="202">
        <v>4</v>
      </c>
      <c r="L24" s="202">
        <v>8</v>
      </c>
      <c r="M24" s="202">
        <v>26</v>
      </c>
      <c r="N24" s="202">
        <v>59</v>
      </c>
      <c r="O24" s="203">
        <v>78</v>
      </c>
      <c r="P24" s="63"/>
      <c r="Q24" s="33"/>
      <c r="R24" s="33"/>
    </row>
    <row r="25" spans="1:18" x14ac:dyDescent="0.2">
      <c r="A25" s="60"/>
      <c r="B25" s="33">
        <f t="shared" ref="B25" si="7">B23+1</f>
        <v>10</v>
      </c>
      <c r="C25" s="45" t="s">
        <v>131</v>
      </c>
      <c r="D25" s="198">
        <v>8</v>
      </c>
      <c r="E25" s="199">
        <v>21</v>
      </c>
      <c r="F25" s="199">
        <v>37</v>
      </c>
      <c r="G25" s="199">
        <v>59</v>
      </c>
      <c r="H25" s="199">
        <v>69</v>
      </c>
      <c r="I25" s="200">
        <v>97</v>
      </c>
      <c r="J25" s="187">
        <v>66</v>
      </c>
      <c r="K25" s="188">
        <v>71</v>
      </c>
      <c r="L25" s="188">
        <v>90</v>
      </c>
      <c r="M25" s="188">
        <v>117</v>
      </c>
      <c r="N25" s="188">
        <v>110</v>
      </c>
      <c r="O25" s="189">
        <v>116</v>
      </c>
      <c r="P25" s="63">
        <f t="shared" ref="P25" si="8">B25+4</f>
        <v>14</v>
      </c>
      <c r="Q25" s="33"/>
      <c r="R25" s="33"/>
    </row>
    <row r="26" spans="1:18" ht="15" thickBot="1" x14ac:dyDescent="0.25">
      <c r="A26" s="60"/>
      <c r="B26" s="33"/>
      <c r="C26" s="45" t="s">
        <v>134</v>
      </c>
      <c r="D26" s="201">
        <v>11</v>
      </c>
      <c r="E26" s="202">
        <v>29</v>
      </c>
      <c r="F26" s="202">
        <v>44</v>
      </c>
      <c r="G26" s="202">
        <v>58</v>
      </c>
      <c r="H26" s="202">
        <v>78</v>
      </c>
      <c r="I26" s="203">
        <v>89</v>
      </c>
      <c r="J26" s="190">
        <v>63</v>
      </c>
      <c r="K26" s="191">
        <v>90</v>
      </c>
      <c r="L26" s="191">
        <v>86</v>
      </c>
      <c r="M26" s="191">
        <v>123</v>
      </c>
      <c r="N26" s="191">
        <v>124</v>
      </c>
      <c r="O26" s="75">
        <v>128</v>
      </c>
      <c r="P26" s="63"/>
      <c r="Q26" s="33"/>
      <c r="R26" s="33"/>
    </row>
    <row r="27" spans="1:18" x14ac:dyDescent="0.2">
      <c r="A27" s="60"/>
      <c r="B27" s="33">
        <f t="shared" ref="B27" si="9">B25+1</f>
        <v>11</v>
      </c>
      <c r="C27" s="45" t="s">
        <v>135</v>
      </c>
      <c r="D27" s="187">
        <v>37</v>
      </c>
      <c r="E27" s="188">
        <v>71</v>
      </c>
      <c r="F27" s="188">
        <v>92</v>
      </c>
      <c r="G27" s="188">
        <v>92</v>
      </c>
      <c r="H27" s="188">
        <v>126</v>
      </c>
      <c r="I27" s="189">
        <v>116</v>
      </c>
      <c r="J27" s="204">
        <v>86</v>
      </c>
      <c r="K27" s="205">
        <v>97</v>
      </c>
      <c r="L27" s="205">
        <v>106</v>
      </c>
      <c r="M27" s="205">
        <v>102</v>
      </c>
      <c r="N27" s="206">
        <v>117</v>
      </c>
      <c r="O27" s="210">
        <v>0</v>
      </c>
      <c r="P27" s="63" t="s">
        <v>144</v>
      </c>
      <c r="Q27" s="33"/>
      <c r="R27" s="33"/>
    </row>
    <row r="28" spans="1:18" ht="15" thickBot="1" x14ac:dyDescent="0.25">
      <c r="A28" s="60"/>
      <c r="B28" s="33"/>
      <c r="C28" s="64" t="s">
        <v>139</v>
      </c>
      <c r="D28" s="190">
        <v>58</v>
      </c>
      <c r="E28" s="191">
        <v>84</v>
      </c>
      <c r="F28" s="191">
        <v>94</v>
      </c>
      <c r="G28" s="191">
        <v>141</v>
      </c>
      <c r="H28" s="191">
        <v>138</v>
      </c>
      <c r="I28" s="75">
        <v>139</v>
      </c>
      <c r="J28" s="207">
        <v>123</v>
      </c>
      <c r="K28" s="208">
        <v>137</v>
      </c>
      <c r="L28" s="208">
        <v>130</v>
      </c>
      <c r="M28" s="208">
        <v>129</v>
      </c>
      <c r="N28" s="209">
        <v>128</v>
      </c>
      <c r="O28" s="211">
        <v>2</v>
      </c>
      <c r="P28" s="63"/>
      <c r="Q28" s="65"/>
      <c r="R28" s="65"/>
    </row>
    <row r="29" spans="1:18" x14ac:dyDescent="0.2">
      <c r="A29" s="60">
        <v>3</v>
      </c>
      <c r="B29" s="60">
        <f>(A29-1)*7+1</f>
        <v>15</v>
      </c>
      <c r="C29" s="61" t="s">
        <v>118</v>
      </c>
      <c r="D29" s="187">
        <v>2</v>
      </c>
      <c r="E29" s="188">
        <v>0</v>
      </c>
      <c r="F29" s="188">
        <v>4</v>
      </c>
      <c r="G29" s="188">
        <v>28</v>
      </c>
      <c r="H29" s="188">
        <v>37</v>
      </c>
      <c r="I29" s="189">
        <v>70</v>
      </c>
      <c r="J29" s="192">
        <v>0</v>
      </c>
      <c r="K29" s="193">
        <v>0</v>
      </c>
      <c r="L29" s="193">
        <v>8</v>
      </c>
      <c r="M29" s="193">
        <v>32</v>
      </c>
      <c r="N29" s="193">
        <v>60</v>
      </c>
      <c r="O29" s="194">
        <v>94</v>
      </c>
      <c r="P29" s="62">
        <f t="shared" ref="P29" si="10">B29+4</f>
        <v>19</v>
      </c>
      <c r="Q29" s="60">
        <f t="shared" ref="Q29" si="11">AVERAGE(J35:N36)</f>
        <v>133.5</v>
      </c>
      <c r="R29" s="60">
        <f t="shared" ref="R29" si="12">AVERAGE(O35:O36)</f>
        <v>0.5</v>
      </c>
    </row>
    <row r="30" spans="1:18" ht="15" thickBot="1" x14ac:dyDescent="0.25">
      <c r="A30" s="60"/>
      <c r="B30" s="60"/>
      <c r="C30" s="45" t="s">
        <v>126</v>
      </c>
      <c r="D30" s="190">
        <v>2</v>
      </c>
      <c r="E30" s="191">
        <v>1</v>
      </c>
      <c r="F30" s="191">
        <v>4</v>
      </c>
      <c r="G30" s="191">
        <v>6</v>
      </c>
      <c r="H30" s="191">
        <v>30</v>
      </c>
      <c r="I30" s="75">
        <v>63</v>
      </c>
      <c r="J30" s="195">
        <v>1</v>
      </c>
      <c r="K30" s="196">
        <v>1</v>
      </c>
      <c r="L30" s="196">
        <v>7</v>
      </c>
      <c r="M30" s="196">
        <v>19</v>
      </c>
      <c r="N30" s="196">
        <v>46</v>
      </c>
      <c r="O30" s="197">
        <v>71</v>
      </c>
      <c r="P30" s="62"/>
      <c r="Q30" s="33"/>
      <c r="R30" s="33"/>
    </row>
    <row r="31" spans="1:18" x14ac:dyDescent="0.2">
      <c r="A31" s="60"/>
      <c r="B31" s="33">
        <f t="shared" ref="B31" si="13">B29+1</f>
        <v>16</v>
      </c>
      <c r="C31" s="45" t="s">
        <v>127</v>
      </c>
      <c r="D31" s="192">
        <v>18</v>
      </c>
      <c r="E31" s="193">
        <v>29</v>
      </c>
      <c r="F31" s="193">
        <v>57</v>
      </c>
      <c r="G31" s="193">
        <v>67</v>
      </c>
      <c r="H31" s="193">
        <v>96</v>
      </c>
      <c r="I31" s="194">
        <v>101</v>
      </c>
      <c r="J31" s="198">
        <v>0</v>
      </c>
      <c r="K31" s="199">
        <v>3</v>
      </c>
      <c r="L31" s="199">
        <v>16</v>
      </c>
      <c r="M31" s="199">
        <v>41</v>
      </c>
      <c r="N31" s="199">
        <v>74</v>
      </c>
      <c r="O31" s="200">
        <v>99</v>
      </c>
      <c r="P31" s="63">
        <f t="shared" ref="P31:P47" si="14">B31+4</f>
        <v>20</v>
      </c>
      <c r="Q31" s="33"/>
      <c r="R31" s="33"/>
    </row>
    <row r="32" spans="1:18" ht="15" thickBot="1" x14ac:dyDescent="0.25">
      <c r="A32" s="60"/>
      <c r="B32" s="33"/>
      <c r="C32" s="45" t="s">
        <v>130</v>
      </c>
      <c r="D32" s="195">
        <v>8</v>
      </c>
      <c r="E32" s="196">
        <v>11</v>
      </c>
      <c r="F32" s="196">
        <v>41</v>
      </c>
      <c r="G32" s="196">
        <v>68</v>
      </c>
      <c r="H32" s="196">
        <v>77</v>
      </c>
      <c r="I32" s="197">
        <v>91</v>
      </c>
      <c r="J32" s="201">
        <v>0</v>
      </c>
      <c r="K32" s="202">
        <v>6</v>
      </c>
      <c r="L32" s="202">
        <v>20</v>
      </c>
      <c r="M32" s="202">
        <v>33</v>
      </c>
      <c r="N32" s="202">
        <v>63</v>
      </c>
      <c r="O32" s="203">
        <v>102</v>
      </c>
      <c r="P32" s="63"/>
      <c r="Q32" s="33"/>
      <c r="R32" s="33"/>
    </row>
    <row r="33" spans="1:18" x14ac:dyDescent="0.2">
      <c r="A33" s="60"/>
      <c r="B33" s="33">
        <f t="shared" ref="B33:B49" si="15">B31+1</f>
        <v>17</v>
      </c>
      <c r="C33" s="45" t="s">
        <v>131</v>
      </c>
      <c r="D33" s="198">
        <v>3</v>
      </c>
      <c r="E33" s="199">
        <v>0</v>
      </c>
      <c r="F33" s="199">
        <v>19</v>
      </c>
      <c r="G33" s="199">
        <v>34</v>
      </c>
      <c r="H33" s="199">
        <v>67</v>
      </c>
      <c r="I33" s="200">
        <v>86</v>
      </c>
      <c r="J33" s="187">
        <v>1</v>
      </c>
      <c r="K33" s="188">
        <v>2</v>
      </c>
      <c r="L33" s="188">
        <v>14</v>
      </c>
      <c r="M33" s="188">
        <v>29</v>
      </c>
      <c r="N33" s="188">
        <v>56</v>
      </c>
      <c r="O33" s="189">
        <v>89</v>
      </c>
      <c r="P33" s="63">
        <f t="shared" ref="P33:P49" si="16">B33+4</f>
        <v>21</v>
      </c>
      <c r="Q33" s="33"/>
      <c r="R33" s="33"/>
    </row>
    <row r="34" spans="1:18" ht="15" thickBot="1" x14ac:dyDescent="0.25">
      <c r="A34" s="60"/>
      <c r="B34" s="33"/>
      <c r="C34" s="45" t="s">
        <v>134</v>
      </c>
      <c r="D34" s="201">
        <v>3</v>
      </c>
      <c r="E34" s="202">
        <v>2</v>
      </c>
      <c r="F34" s="202">
        <v>17</v>
      </c>
      <c r="G34" s="202">
        <v>39</v>
      </c>
      <c r="H34" s="202">
        <v>48</v>
      </c>
      <c r="I34" s="203">
        <v>84</v>
      </c>
      <c r="J34" s="190">
        <v>3</v>
      </c>
      <c r="K34" s="191">
        <v>10</v>
      </c>
      <c r="L34" s="191">
        <v>18</v>
      </c>
      <c r="M34" s="191">
        <v>38</v>
      </c>
      <c r="N34" s="191">
        <v>78</v>
      </c>
      <c r="O34" s="75">
        <v>91</v>
      </c>
      <c r="P34" s="63"/>
      <c r="Q34" s="33"/>
      <c r="R34" s="33"/>
    </row>
    <row r="35" spans="1:18" x14ac:dyDescent="0.2">
      <c r="A35" s="60"/>
      <c r="B35" s="33">
        <f t="shared" ref="B35:B51" si="17">B33+1</f>
        <v>18</v>
      </c>
      <c r="C35" s="45" t="s">
        <v>135</v>
      </c>
      <c r="D35" s="187">
        <v>0</v>
      </c>
      <c r="E35" s="188">
        <v>1</v>
      </c>
      <c r="F35" s="188">
        <v>3</v>
      </c>
      <c r="G35" s="188">
        <v>13</v>
      </c>
      <c r="H35" s="188">
        <v>31</v>
      </c>
      <c r="I35" s="189">
        <v>51</v>
      </c>
      <c r="J35" s="204">
        <v>130</v>
      </c>
      <c r="K35" s="205">
        <v>117</v>
      </c>
      <c r="L35" s="205">
        <v>124</v>
      </c>
      <c r="M35" s="205">
        <v>123</v>
      </c>
      <c r="N35" s="206">
        <v>112</v>
      </c>
      <c r="O35" s="210">
        <v>0</v>
      </c>
      <c r="P35" s="63" t="s">
        <v>144</v>
      </c>
      <c r="Q35" s="33"/>
      <c r="R35" s="33"/>
    </row>
    <row r="36" spans="1:18" ht="15" thickBot="1" x14ac:dyDescent="0.25">
      <c r="A36" s="60"/>
      <c r="B36" s="33"/>
      <c r="C36" s="64" t="s">
        <v>139</v>
      </c>
      <c r="D36" s="190">
        <v>4</v>
      </c>
      <c r="E36" s="191">
        <v>0</v>
      </c>
      <c r="F36" s="191">
        <v>2</v>
      </c>
      <c r="G36" s="191">
        <v>16</v>
      </c>
      <c r="H36" s="191">
        <v>29</v>
      </c>
      <c r="I36" s="75">
        <v>52</v>
      </c>
      <c r="J36" s="207">
        <v>129</v>
      </c>
      <c r="K36" s="208">
        <v>173</v>
      </c>
      <c r="L36" s="208">
        <v>122</v>
      </c>
      <c r="M36" s="208">
        <v>143</v>
      </c>
      <c r="N36" s="209">
        <v>162</v>
      </c>
      <c r="O36" s="211">
        <v>1</v>
      </c>
      <c r="P36" s="63"/>
      <c r="Q36" s="65"/>
      <c r="R36" s="65"/>
    </row>
    <row r="37" spans="1:18" x14ac:dyDescent="0.2">
      <c r="A37" s="60">
        <v>4</v>
      </c>
      <c r="B37" s="60">
        <f>(A37-1)*7+1</f>
        <v>22</v>
      </c>
      <c r="C37" s="61" t="s">
        <v>118</v>
      </c>
      <c r="D37" s="187">
        <v>4</v>
      </c>
      <c r="E37" s="188">
        <v>17</v>
      </c>
      <c r="F37" s="188">
        <v>37</v>
      </c>
      <c r="G37" s="188">
        <v>111</v>
      </c>
      <c r="H37" s="188">
        <v>91</v>
      </c>
      <c r="I37" s="189">
        <v>99</v>
      </c>
      <c r="J37" s="192">
        <v>0</v>
      </c>
      <c r="K37" s="193">
        <v>0</v>
      </c>
      <c r="L37" s="193">
        <v>4</v>
      </c>
      <c r="M37" s="193">
        <v>10</v>
      </c>
      <c r="N37" s="193">
        <v>24</v>
      </c>
      <c r="O37" s="194">
        <v>58</v>
      </c>
      <c r="P37" s="62">
        <f t="shared" ref="P37" si="18">B37+4</f>
        <v>26</v>
      </c>
      <c r="Q37" s="60">
        <f t="shared" ref="Q37" si="19">AVERAGE(J43:N44)</f>
        <v>118</v>
      </c>
      <c r="R37" s="60">
        <f t="shared" ref="R37" si="20">AVERAGE(O43:O44)</f>
        <v>2</v>
      </c>
    </row>
    <row r="38" spans="1:18" ht="15" thickBot="1" x14ac:dyDescent="0.25">
      <c r="A38" s="60"/>
      <c r="B38" s="60"/>
      <c r="C38" s="45" t="s">
        <v>126</v>
      </c>
      <c r="D38" s="190">
        <v>3</v>
      </c>
      <c r="E38" s="191">
        <v>8</v>
      </c>
      <c r="F38" s="191">
        <v>19</v>
      </c>
      <c r="G38" s="191">
        <v>66</v>
      </c>
      <c r="H38" s="191">
        <v>81</v>
      </c>
      <c r="I38" s="75">
        <v>89</v>
      </c>
      <c r="J38" s="195">
        <v>0</v>
      </c>
      <c r="K38" s="196">
        <v>0</v>
      </c>
      <c r="L38" s="196">
        <v>2</v>
      </c>
      <c r="M38" s="196">
        <v>16</v>
      </c>
      <c r="N38" s="196">
        <v>22</v>
      </c>
      <c r="O38" s="197">
        <v>44</v>
      </c>
      <c r="P38" s="62"/>
      <c r="Q38" s="33"/>
      <c r="R38" s="33"/>
    </row>
    <row r="39" spans="1:18" x14ac:dyDescent="0.2">
      <c r="A39" s="60"/>
      <c r="B39" s="33">
        <f t="shared" ref="B39" si="21">B37+1</f>
        <v>23</v>
      </c>
      <c r="C39" s="45" t="s">
        <v>127</v>
      </c>
      <c r="D39" s="192">
        <v>6</v>
      </c>
      <c r="E39" s="193">
        <v>2</v>
      </c>
      <c r="F39" s="193">
        <v>4</v>
      </c>
      <c r="G39" s="193">
        <v>18</v>
      </c>
      <c r="H39" s="193">
        <v>20</v>
      </c>
      <c r="I39" s="194">
        <v>41</v>
      </c>
      <c r="J39" s="198">
        <v>1</v>
      </c>
      <c r="K39" s="199">
        <v>11</v>
      </c>
      <c r="L39" s="199">
        <v>34</v>
      </c>
      <c r="M39" s="199">
        <v>69</v>
      </c>
      <c r="N39" s="199">
        <v>69</v>
      </c>
      <c r="O39" s="200">
        <v>100</v>
      </c>
      <c r="P39" s="63">
        <f t="shared" si="14"/>
        <v>27</v>
      </c>
      <c r="Q39" s="33"/>
      <c r="R39" s="33"/>
    </row>
    <row r="40" spans="1:18" ht="15" thickBot="1" x14ac:dyDescent="0.25">
      <c r="A40" s="60"/>
      <c r="B40" s="33"/>
      <c r="C40" s="45" t="s">
        <v>130</v>
      </c>
      <c r="D40" s="195">
        <v>2</v>
      </c>
      <c r="E40" s="196">
        <v>1</v>
      </c>
      <c r="F40" s="196">
        <v>4</v>
      </c>
      <c r="G40" s="196">
        <v>12</v>
      </c>
      <c r="H40" s="196">
        <v>27</v>
      </c>
      <c r="I40" s="197">
        <v>47</v>
      </c>
      <c r="J40" s="201">
        <v>0</v>
      </c>
      <c r="K40" s="202">
        <v>16</v>
      </c>
      <c r="L40" s="202">
        <v>22</v>
      </c>
      <c r="M40" s="202">
        <v>67</v>
      </c>
      <c r="N40" s="202">
        <v>77</v>
      </c>
      <c r="O40" s="203">
        <v>90</v>
      </c>
      <c r="P40" s="63"/>
      <c r="Q40" s="33"/>
      <c r="R40" s="33"/>
    </row>
    <row r="41" spans="1:18" x14ac:dyDescent="0.2">
      <c r="A41" s="60"/>
      <c r="B41" s="33">
        <f t="shared" si="15"/>
        <v>24</v>
      </c>
      <c r="C41" s="45" t="s">
        <v>131</v>
      </c>
      <c r="D41" s="198">
        <v>6</v>
      </c>
      <c r="E41" s="199">
        <v>4</v>
      </c>
      <c r="F41" s="199">
        <v>10</v>
      </c>
      <c r="G41" s="199">
        <v>34</v>
      </c>
      <c r="H41" s="199">
        <v>37</v>
      </c>
      <c r="I41" s="200">
        <v>69</v>
      </c>
      <c r="J41" s="187">
        <v>1</v>
      </c>
      <c r="K41" s="188">
        <v>2</v>
      </c>
      <c r="L41" s="188">
        <v>12</v>
      </c>
      <c r="M41" s="188">
        <v>40</v>
      </c>
      <c r="N41" s="188">
        <v>79</v>
      </c>
      <c r="O41" s="189">
        <v>64</v>
      </c>
      <c r="P41" s="63">
        <f t="shared" si="16"/>
        <v>28</v>
      </c>
      <c r="Q41" s="33"/>
      <c r="R41" s="33"/>
    </row>
    <row r="42" spans="1:18" ht="15" thickBot="1" x14ac:dyDescent="0.25">
      <c r="A42" s="60"/>
      <c r="B42" s="33"/>
      <c r="C42" s="45" t="s">
        <v>134</v>
      </c>
      <c r="D42" s="201">
        <v>2</v>
      </c>
      <c r="E42" s="202">
        <v>8</v>
      </c>
      <c r="F42" s="202">
        <v>24</v>
      </c>
      <c r="G42" s="202">
        <v>33</v>
      </c>
      <c r="H42" s="202">
        <v>61</v>
      </c>
      <c r="I42" s="203">
        <v>87</v>
      </c>
      <c r="J42" s="190">
        <v>2</v>
      </c>
      <c r="K42" s="191">
        <v>12</v>
      </c>
      <c r="L42" s="191">
        <v>14</v>
      </c>
      <c r="M42" s="191">
        <v>13</v>
      </c>
      <c r="N42" s="191">
        <v>18</v>
      </c>
      <c r="O42" s="75">
        <v>76</v>
      </c>
      <c r="P42" s="63"/>
      <c r="Q42" s="33"/>
      <c r="R42" s="33"/>
    </row>
    <row r="43" spans="1:18" x14ac:dyDescent="0.2">
      <c r="A43" s="60"/>
      <c r="B43" s="33">
        <f t="shared" si="17"/>
        <v>25</v>
      </c>
      <c r="C43" s="45" t="s">
        <v>135</v>
      </c>
      <c r="D43" s="187">
        <v>0</v>
      </c>
      <c r="E43" s="188">
        <v>3</v>
      </c>
      <c r="F43" s="188">
        <v>10</v>
      </c>
      <c r="G43" s="188">
        <v>30</v>
      </c>
      <c r="H43" s="188">
        <v>44</v>
      </c>
      <c r="I43" s="189">
        <v>60</v>
      </c>
      <c r="J43" s="204">
        <v>107</v>
      </c>
      <c r="K43" s="205">
        <v>106</v>
      </c>
      <c r="L43" s="205">
        <v>110</v>
      </c>
      <c r="M43" s="205">
        <v>113</v>
      </c>
      <c r="N43" s="206">
        <v>124</v>
      </c>
      <c r="O43" s="210">
        <v>1</v>
      </c>
      <c r="P43" s="63" t="s">
        <v>144</v>
      </c>
      <c r="Q43" s="33"/>
      <c r="R43" s="33"/>
    </row>
    <row r="44" spans="1:18" ht="15" thickBot="1" x14ac:dyDescent="0.25">
      <c r="A44" s="60"/>
      <c r="B44" s="33"/>
      <c r="C44" s="64" t="s">
        <v>139</v>
      </c>
      <c r="D44" s="190">
        <v>3</v>
      </c>
      <c r="E44" s="191">
        <v>13</v>
      </c>
      <c r="F44" s="191">
        <v>12</v>
      </c>
      <c r="G44" s="191">
        <v>29</v>
      </c>
      <c r="H44" s="191">
        <v>64</v>
      </c>
      <c r="I44" s="75">
        <v>94</v>
      </c>
      <c r="J44" s="207">
        <v>144</v>
      </c>
      <c r="K44" s="208">
        <v>139</v>
      </c>
      <c r="L44" s="208">
        <v>107</v>
      </c>
      <c r="M44" s="208">
        <v>108</v>
      </c>
      <c r="N44" s="209">
        <v>122</v>
      </c>
      <c r="O44" s="211">
        <v>3</v>
      </c>
      <c r="P44" s="63"/>
      <c r="Q44" s="65"/>
      <c r="R44" s="65"/>
    </row>
    <row r="45" spans="1:18" x14ac:dyDescent="0.2">
      <c r="A45" s="60">
        <v>5</v>
      </c>
      <c r="B45" s="60">
        <f>(A45-1)*7+1</f>
        <v>29</v>
      </c>
      <c r="C45" s="61" t="s">
        <v>118</v>
      </c>
      <c r="D45" s="187">
        <v>171</v>
      </c>
      <c r="E45" s="188">
        <v>141</v>
      </c>
      <c r="F45" s="188">
        <v>133</v>
      </c>
      <c r="G45" s="188">
        <v>131</v>
      </c>
      <c r="H45" s="188">
        <v>129</v>
      </c>
      <c r="I45" s="189">
        <v>136</v>
      </c>
      <c r="J45" s="192">
        <v>123</v>
      </c>
      <c r="K45" s="193">
        <v>124</v>
      </c>
      <c r="L45" s="193">
        <v>128</v>
      </c>
      <c r="M45" s="193">
        <v>146</v>
      </c>
      <c r="N45" s="193">
        <v>124</v>
      </c>
      <c r="O45" s="194">
        <v>119</v>
      </c>
      <c r="P45" s="62">
        <f t="shared" ref="P45" si="22">B45+4</f>
        <v>33</v>
      </c>
      <c r="Q45" s="60">
        <f t="shared" ref="Q45" si="23">AVERAGE(J51:N52)</f>
        <v>143.30000000000001</v>
      </c>
      <c r="R45" s="60">
        <f t="shared" ref="R45" si="24">AVERAGE(O51:O52)</f>
        <v>3</v>
      </c>
    </row>
    <row r="46" spans="1:18" ht="15" thickBot="1" x14ac:dyDescent="0.25">
      <c r="A46" s="60"/>
      <c r="B46" s="60"/>
      <c r="C46" s="45" t="s">
        <v>126</v>
      </c>
      <c r="D46" s="190">
        <v>117</v>
      </c>
      <c r="E46" s="191">
        <v>137</v>
      </c>
      <c r="F46" s="191">
        <v>128</v>
      </c>
      <c r="G46" s="191">
        <v>137</v>
      </c>
      <c r="H46" s="191">
        <v>121</v>
      </c>
      <c r="I46" s="75">
        <v>141</v>
      </c>
      <c r="J46" s="195">
        <v>138</v>
      </c>
      <c r="K46" s="196">
        <v>110</v>
      </c>
      <c r="L46" s="196">
        <v>118</v>
      </c>
      <c r="M46" s="196">
        <v>113</v>
      </c>
      <c r="N46" s="196">
        <v>119</v>
      </c>
      <c r="O46" s="197">
        <v>119</v>
      </c>
      <c r="P46" s="62"/>
      <c r="Q46" s="33"/>
      <c r="R46" s="33"/>
    </row>
    <row r="47" spans="1:18" x14ac:dyDescent="0.2">
      <c r="A47" s="60"/>
      <c r="B47" s="33">
        <f t="shared" ref="B47" si="25">B45+1</f>
        <v>30</v>
      </c>
      <c r="C47" s="45" t="s">
        <v>127</v>
      </c>
      <c r="D47" s="192">
        <v>156</v>
      </c>
      <c r="E47" s="193">
        <v>146</v>
      </c>
      <c r="F47" s="193">
        <v>122</v>
      </c>
      <c r="G47" s="193">
        <v>140</v>
      </c>
      <c r="H47" s="193">
        <v>127</v>
      </c>
      <c r="I47" s="194">
        <v>124</v>
      </c>
      <c r="J47" s="198">
        <v>117</v>
      </c>
      <c r="K47" s="199">
        <v>122</v>
      </c>
      <c r="L47" s="199">
        <v>108</v>
      </c>
      <c r="M47" s="199">
        <v>134</v>
      </c>
      <c r="N47" s="199">
        <v>120</v>
      </c>
      <c r="O47" s="200">
        <v>117</v>
      </c>
      <c r="P47" s="63">
        <f t="shared" si="14"/>
        <v>34</v>
      </c>
      <c r="Q47" s="33"/>
      <c r="R47" s="33"/>
    </row>
    <row r="48" spans="1:18" ht="15" thickBot="1" x14ac:dyDescent="0.25">
      <c r="A48" s="60"/>
      <c r="B48" s="33"/>
      <c r="C48" s="45" t="s">
        <v>130</v>
      </c>
      <c r="D48" s="195">
        <v>192</v>
      </c>
      <c r="E48" s="196">
        <v>143</v>
      </c>
      <c r="F48" s="196">
        <v>118</v>
      </c>
      <c r="G48" s="196">
        <v>127</v>
      </c>
      <c r="H48" s="196">
        <v>133</v>
      </c>
      <c r="I48" s="197">
        <v>138</v>
      </c>
      <c r="J48" s="201">
        <v>118</v>
      </c>
      <c r="K48" s="202">
        <v>111</v>
      </c>
      <c r="L48" s="202">
        <v>112</v>
      </c>
      <c r="M48" s="202">
        <v>117</v>
      </c>
      <c r="N48" s="202">
        <v>110</v>
      </c>
      <c r="O48" s="203">
        <v>120</v>
      </c>
      <c r="P48" s="63"/>
      <c r="Q48" s="33"/>
      <c r="R48" s="33"/>
    </row>
    <row r="49" spans="1:18" x14ac:dyDescent="0.2">
      <c r="A49" s="60"/>
      <c r="B49" s="33">
        <f t="shared" si="15"/>
        <v>31</v>
      </c>
      <c r="C49" s="45" t="s">
        <v>131</v>
      </c>
      <c r="D49" s="198">
        <v>146</v>
      </c>
      <c r="E49" s="199">
        <v>114</v>
      </c>
      <c r="F49" s="199">
        <v>119</v>
      </c>
      <c r="G49" s="199">
        <v>108</v>
      </c>
      <c r="H49" s="199">
        <v>118</v>
      </c>
      <c r="I49" s="200">
        <v>120</v>
      </c>
      <c r="J49" s="187">
        <v>137</v>
      </c>
      <c r="K49" s="188">
        <v>117</v>
      </c>
      <c r="L49" s="188">
        <v>112</v>
      </c>
      <c r="M49" s="188">
        <v>116</v>
      </c>
      <c r="N49" s="188">
        <v>124</v>
      </c>
      <c r="O49" s="189">
        <v>120</v>
      </c>
      <c r="P49" s="63">
        <f t="shared" si="16"/>
        <v>35</v>
      </c>
      <c r="Q49" s="33"/>
      <c r="R49" s="33"/>
    </row>
    <row r="50" spans="1:18" ht="15" thickBot="1" x14ac:dyDescent="0.25">
      <c r="A50" s="60"/>
      <c r="B50" s="33"/>
      <c r="C50" s="45" t="s">
        <v>134</v>
      </c>
      <c r="D50" s="201">
        <v>142</v>
      </c>
      <c r="E50" s="202">
        <v>118</v>
      </c>
      <c r="F50" s="202">
        <v>131</v>
      </c>
      <c r="G50" s="202">
        <v>112</v>
      </c>
      <c r="H50" s="202">
        <v>106</v>
      </c>
      <c r="I50" s="203">
        <v>130</v>
      </c>
      <c r="J50" s="190">
        <v>130</v>
      </c>
      <c r="K50" s="191">
        <v>131</v>
      </c>
      <c r="L50" s="191">
        <v>118</v>
      </c>
      <c r="M50" s="191">
        <v>114</v>
      </c>
      <c r="N50" s="191">
        <v>114</v>
      </c>
      <c r="O50" s="75">
        <v>102</v>
      </c>
      <c r="P50" s="63"/>
      <c r="Q50" s="33"/>
      <c r="R50" s="33"/>
    </row>
    <row r="51" spans="1:18" x14ac:dyDescent="0.2">
      <c r="A51" s="60"/>
      <c r="B51" s="33">
        <f t="shared" si="17"/>
        <v>32</v>
      </c>
      <c r="C51" s="45" t="s">
        <v>135</v>
      </c>
      <c r="D51" s="187">
        <v>162</v>
      </c>
      <c r="E51" s="188">
        <v>126</v>
      </c>
      <c r="F51" s="188">
        <v>114</v>
      </c>
      <c r="G51" s="188">
        <v>124</v>
      </c>
      <c r="H51" s="188">
        <v>110</v>
      </c>
      <c r="I51" s="189">
        <v>121</v>
      </c>
      <c r="J51" s="204">
        <v>119</v>
      </c>
      <c r="K51" s="205">
        <v>127</v>
      </c>
      <c r="L51" s="205">
        <v>122</v>
      </c>
      <c r="M51" s="205">
        <v>120</v>
      </c>
      <c r="N51" s="206">
        <v>116</v>
      </c>
      <c r="O51" s="210">
        <v>0</v>
      </c>
      <c r="P51" s="63" t="s">
        <v>144</v>
      </c>
      <c r="Q51" s="33"/>
      <c r="R51" s="33"/>
    </row>
    <row r="52" spans="1:18" ht="15" thickBot="1" x14ac:dyDescent="0.25">
      <c r="A52" s="66"/>
      <c r="B52" s="65"/>
      <c r="C52" s="64" t="s">
        <v>139</v>
      </c>
      <c r="D52" s="190">
        <v>188</v>
      </c>
      <c r="E52" s="191">
        <v>146</v>
      </c>
      <c r="F52" s="191">
        <v>134</v>
      </c>
      <c r="G52" s="191">
        <v>127</v>
      </c>
      <c r="H52" s="191">
        <v>150</v>
      </c>
      <c r="I52" s="75">
        <v>137</v>
      </c>
      <c r="J52" s="207">
        <v>172</v>
      </c>
      <c r="K52" s="208">
        <v>179</v>
      </c>
      <c r="L52" s="208">
        <v>149</v>
      </c>
      <c r="M52" s="208">
        <v>142</v>
      </c>
      <c r="N52" s="209">
        <v>187</v>
      </c>
      <c r="O52" s="211">
        <v>6</v>
      </c>
      <c r="P52" s="67"/>
      <c r="Q52" s="65"/>
      <c r="R52" s="65"/>
    </row>
  </sheetData>
  <mergeCells count="66">
    <mergeCell ref="R45:R52"/>
    <mergeCell ref="B47:B48"/>
    <mergeCell ref="P47:P48"/>
    <mergeCell ref="B49:B50"/>
    <mergeCell ref="P49:P50"/>
    <mergeCell ref="B51:B52"/>
    <mergeCell ref="P51:P52"/>
    <mergeCell ref="B43:B44"/>
    <mergeCell ref="P43:P44"/>
    <mergeCell ref="A45:A52"/>
    <mergeCell ref="B45:B46"/>
    <mergeCell ref="P45:P46"/>
    <mergeCell ref="Q45:Q52"/>
    <mergeCell ref="P35:P36"/>
    <mergeCell ref="A37:A44"/>
    <mergeCell ref="B37:B38"/>
    <mergeCell ref="P37:P38"/>
    <mergeCell ref="Q37:Q44"/>
    <mergeCell ref="R37:R44"/>
    <mergeCell ref="B39:B40"/>
    <mergeCell ref="P39:P40"/>
    <mergeCell ref="B41:B42"/>
    <mergeCell ref="P41:P42"/>
    <mergeCell ref="A29:A36"/>
    <mergeCell ref="B29:B30"/>
    <mergeCell ref="P29:P30"/>
    <mergeCell ref="Q29:Q36"/>
    <mergeCell ref="R29:R36"/>
    <mergeCell ref="B31:B32"/>
    <mergeCell ref="P31:P32"/>
    <mergeCell ref="B33:B34"/>
    <mergeCell ref="P33:P34"/>
    <mergeCell ref="B35:B36"/>
    <mergeCell ref="R21:R28"/>
    <mergeCell ref="B23:B24"/>
    <mergeCell ref="P23:P24"/>
    <mergeCell ref="B25:B26"/>
    <mergeCell ref="P25:P26"/>
    <mergeCell ref="B27:B28"/>
    <mergeCell ref="P27:P28"/>
    <mergeCell ref="B19:B20"/>
    <mergeCell ref="P19:P20"/>
    <mergeCell ref="A21:A28"/>
    <mergeCell ref="B21:B22"/>
    <mergeCell ref="P21:P22"/>
    <mergeCell ref="Q21:Q28"/>
    <mergeCell ref="P8:P9"/>
    <mergeCell ref="A13:A20"/>
    <mergeCell ref="B13:B14"/>
    <mergeCell ref="P13:P14"/>
    <mergeCell ref="Q13:Q20"/>
    <mergeCell ref="R13:R20"/>
    <mergeCell ref="B15:B16"/>
    <mergeCell ref="P15:P16"/>
    <mergeCell ref="B17:B18"/>
    <mergeCell ref="P17:P18"/>
    <mergeCell ref="A2:A9"/>
    <mergeCell ref="C2:C3"/>
    <mergeCell ref="P2:P3"/>
    <mergeCell ref="C4:C5"/>
    <mergeCell ref="P4:P5"/>
    <mergeCell ref="C6:C7"/>
    <mergeCell ref="P6:P7"/>
    <mergeCell ref="C8:C9"/>
    <mergeCell ref="J8:N9"/>
    <mergeCell ref="O8:O9"/>
  </mergeCells>
  <conditionalFormatting sqref="Q13:Q52">
    <cfRule type="cellIs" dxfId="5" priority="2" operator="greaterThan">
      <formula>250</formula>
    </cfRule>
    <cfRule type="cellIs" dxfId="4" priority="3" operator="lessThan">
      <formula>100</formula>
    </cfRule>
  </conditionalFormatting>
  <conditionalFormatting sqref="R13:R52">
    <cfRule type="cellIs" dxfId="3" priority="1" operator="greaterThan">
      <formula>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C85B4-71A4-47D5-89D9-9AA82317ADF8}">
  <dimension ref="A1:R52"/>
  <sheetViews>
    <sheetView workbookViewId="0">
      <selection activeCell="N54" sqref="N54"/>
    </sheetView>
  </sheetViews>
  <sheetFormatPr defaultRowHeight="14.25" x14ac:dyDescent="0.2"/>
  <sheetData>
    <row r="1" spans="1:18" ht="16.5" thickBot="1" x14ac:dyDescent="0.3">
      <c r="A1" s="43"/>
      <c r="B1" s="44"/>
      <c r="C1" s="44"/>
      <c r="D1" s="153">
        <v>1</v>
      </c>
      <c r="E1" s="153">
        <v>2</v>
      </c>
      <c r="F1" s="153">
        <v>3</v>
      </c>
      <c r="G1" s="153">
        <v>4</v>
      </c>
      <c r="H1" s="153">
        <v>5</v>
      </c>
      <c r="I1" s="153">
        <v>6</v>
      </c>
      <c r="J1" s="153">
        <v>7</v>
      </c>
      <c r="K1" s="153">
        <v>8</v>
      </c>
      <c r="L1" s="153">
        <v>9</v>
      </c>
      <c r="M1" s="153">
        <v>10</v>
      </c>
      <c r="N1" s="153">
        <v>11</v>
      </c>
      <c r="O1" s="153">
        <v>12</v>
      </c>
      <c r="P1" s="44"/>
      <c r="Q1" s="45"/>
      <c r="R1" s="45"/>
    </row>
    <row r="2" spans="1:18" ht="15.75" x14ac:dyDescent="0.2">
      <c r="A2" s="46" t="s">
        <v>117</v>
      </c>
      <c r="B2" s="47" t="s">
        <v>118</v>
      </c>
      <c r="C2" s="150" t="s">
        <v>119</v>
      </c>
      <c r="D2" s="154" t="s">
        <v>94</v>
      </c>
      <c r="E2" s="155" t="s">
        <v>120</v>
      </c>
      <c r="F2" s="156" t="s">
        <v>121</v>
      </c>
      <c r="G2" s="156" t="s">
        <v>122</v>
      </c>
      <c r="H2" s="156" t="s">
        <v>123</v>
      </c>
      <c r="I2" s="157" t="s">
        <v>124</v>
      </c>
      <c r="J2" s="162" t="s">
        <v>94</v>
      </c>
      <c r="K2" s="163" t="s">
        <v>120</v>
      </c>
      <c r="L2" s="164" t="s">
        <v>121</v>
      </c>
      <c r="M2" s="164" t="s">
        <v>122</v>
      </c>
      <c r="N2" s="164" t="s">
        <v>123</v>
      </c>
      <c r="O2" s="165" t="s">
        <v>124</v>
      </c>
      <c r="P2" s="151" t="s">
        <v>125</v>
      </c>
      <c r="Q2" s="45"/>
      <c r="R2" s="45"/>
    </row>
    <row r="3" spans="1:18" ht="16.5" thickBot="1" x14ac:dyDescent="0.25">
      <c r="A3" s="46"/>
      <c r="B3" s="47" t="s">
        <v>126</v>
      </c>
      <c r="C3" s="150"/>
      <c r="D3" s="158" t="s">
        <v>94</v>
      </c>
      <c r="E3" s="159" t="s">
        <v>120</v>
      </c>
      <c r="F3" s="160" t="s">
        <v>121</v>
      </c>
      <c r="G3" s="160" t="s">
        <v>122</v>
      </c>
      <c r="H3" s="160" t="s">
        <v>123</v>
      </c>
      <c r="I3" s="161" t="s">
        <v>124</v>
      </c>
      <c r="J3" s="166" t="s">
        <v>94</v>
      </c>
      <c r="K3" s="167" t="s">
        <v>120</v>
      </c>
      <c r="L3" s="168" t="s">
        <v>121</v>
      </c>
      <c r="M3" s="168" t="s">
        <v>122</v>
      </c>
      <c r="N3" s="168" t="s">
        <v>123</v>
      </c>
      <c r="O3" s="169" t="s">
        <v>124</v>
      </c>
      <c r="P3" s="151"/>
      <c r="Q3" s="45"/>
      <c r="R3" s="45"/>
    </row>
    <row r="4" spans="1:18" ht="15.75" x14ac:dyDescent="0.2">
      <c r="A4" s="46"/>
      <c r="B4" s="47" t="s">
        <v>127</v>
      </c>
      <c r="C4" s="151" t="s">
        <v>128</v>
      </c>
      <c r="D4" s="162" t="s">
        <v>94</v>
      </c>
      <c r="E4" s="163" t="s">
        <v>120</v>
      </c>
      <c r="F4" s="164" t="s">
        <v>121</v>
      </c>
      <c r="G4" s="164" t="s">
        <v>122</v>
      </c>
      <c r="H4" s="164" t="s">
        <v>123</v>
      </c>
      <c r="I4" s="165" t="s">
        <v>124</v>
      </c>
      <c r="J4" s="170" t="s">
        <v>94</v>
      </c>
      <c r="K4" s="171" t="s">
        <v>120</v>
      </c>
      <c r="L4" s="172" t="s">
        <v>121</v>
      </c>
      <c r="M4" s="172" t="s">
        <v>122</v>
      </c>
      <c r="N4" s="172" t="s">
        <v>123</v>
      </c>
      <c r="O4" s="173" t="s">
        <v>124</v>
      </c>
      <c r="P4" s="152" t="s">
        <v>129</v>
      </c>
      <c r="Q4" s="45"/>
      <c r="R4" s="45"/>
    </row>
    <row r="5" spans="1:18" ht="16.5" thickBot="1" x14ac:dyDescent="0.25">
      <c r="A5" s="46"/>
      <c r="B5" s="47" t="s">
        <v>130</v>
      </c>
      <c r="C5" s="151"/>
      <c r="D5" s="166" t="s">
        <v>94</v>
      </c>
      <c r="E5" s="167" t="s">
        <v>120</v>
      </c>
      <c r="F5" s="168" t="s">
        <v>121</v>
      </c>
      <c r="G5" s="168" t="s">
        <v>122</v>
      </c>
      <c r="H5" s="168" t="s">
        <v>123</v>
      </c>
      <c r="I5" s="169" t="s">
        <v>124</v>
      </c>
      <c r="J5" s="174" t="s">
        <v>94</v>
      </c>
      <c r="K5" s="175" t="s">
        <v>120</v>
      </c>
      <c r="L5" s="176" t="s">
        <v>121</v>
      </c>
      <c r="M5" s="176" t="s">
        <v>122</v>
      </c>
      <c r="N5" s="176" t="s">
        <v>123</v>
      </c>
      <c r="O5" s="177" t="s">
        <v>124</v>
      </c>
      <c r="P5" s="152"/>
      <c r="Q5" s="45"/>
      <c r="R5" s="45"/>
    </row>
    <row r="6" spans="1:18" ht="15.75" x14ac:dyDescent="0.2">
      <c r="A6" s="46"/>
      <c r="B6" s="47" t="s">
        <v>131</v>
      </c>
      <c r="C6" s="152" t="s">
        <v>132</v>
      </c>
      <c r="D6" s="170" t="s">
        <v>94</v>
      </c>
      <c r="E6" s="171" t="s">
        <v>120</v>
      </c>
      <c r="F6" s="172" t="s">
        <v>121</v>
      </c>
      <c r="G6" s="172" t="s">
        <v>122</v>
      </c>
      <c r="H6" s="172" t="s">
        <v>123</v>
      </c>
      <c r="I6" s="173" t="s">
        <v>124</v>
      </c>
      <c r="J6" s="154" t="s">
        <v>94</v>
      </c>
      <c r="K6" s="155" t="s">
        <v>120</v>
      </c>
      <c r="L6" s="156" t="s">
        <v>121</v>
      </c>
      <c r="M6" s="156" t="s">
        <v>122</v>
      </c>
      <c r="N6" s="156" t="s">
        <v>123</v>
      </c>
      <c r="O6" s="157" t="s">
        <v>124</v>
      </c>
      <c r="P6" s="150" t="s">
        <v>133</v>
      </c>
      <c r="Q6" s="45"/>
      <c r="R6" s="45"/>
    </row>
    <row r="7" spans="1:18" ht="16.5" thickBot="1" x14ac:dyDescent="0.25">
      <c r="A7" s="46"/>
      <c r="B7" s="47" t="s">
        <v>134</v>
      </c>
      <c r="C7" s="152"/>
      <c r="D7" s="174" t="s">
        <v>94</v>
      </c>
      <c r="E7" s="175" t="s">
        <v>120</v>
      </c>
      <c r="F7" s="176" t="s">
        <v>121</v>
      </c>
      <c r="G7" s="176" t="s">
        <v>122</v>
      </c>
      <c r="H7" s="176" t="s">
        <v>123</v>
      </c>
      <c r="I7" s="177" t="s">
        <v>124</v>
      </c>
      <c r="J7" s="158" t="s">
        <v>94</v>
      </c>
      <c r="K7" s="159" t="s">
        <v>120</v>
      </c>
      <c r="L7" s="160" t="s">
        <v>121</v>
      </c>
      <c r="M7" s="160" t="s">
        <v>122</v>
      </c>
      <c r="N7" s="160" t="s">
        <v>123</v>
      </c>
      <c r="O7" s="161" t="s">
        <v>124</v>
      </c>
      <c r="P7" s="150"/>
      <c r="Q7" s="45"/>
      <c r="R7" s="45"/>
    </row>
    <row r="8" spans="1:18" ht="15.75" x14ac:dyDescent="0.2">
      <c r="A8" s="46"/>
      <c r="B8" s="47" t="s">
        <v>135</v>
      </c>
      <c r="C8" s="150" t="s">
        <v>136</v>
      </c>
      <c r="D8" s="154" t="s">
        <v>94</v>
      </c>
      <c r="E8" s="155" t="s">
        <v>120</v>
      </c>
      <c r="F8" s="156" t="s">
        <v>121</v>
      </c>
      <c r="G8" s="156" t="s">
        <v>122</v>
      </c>
      <c r="H8" s="156" t="s">
        <v>123</v>
      </c>
      <c r="I8" s="157" t="s">
        <v>124</v>
      </c>
      <c r="J8" s="178" t="s">
        <v>137</v>
      </c>
      <c r="K8" s="179"/>
      <c r="L8" s="179"/>
      <c r="M8" s="179"/>
      <c r="N8" s="180"/>
      <c r="O8" s="184" t="s">
        <v>138</v>
      </c>
      <c r="P8" s="68"/>
      <c r="Q8" s="45"/>
      <c r="R8" s="45"/>
    </row>
    <row r="9" spans="1:18" ht="16.5" thickBot="1" x14ac:dyDescent="0.25">
      <c r="A9" s="46"/>
      <c r="B9" s="47" t="s">
        <v>139</v>
      </c>
      <c r="C9" s="150"/>
      <c r="D9" s="158" t="s">
        <v>94</v>
      </c>
      <c r="E9" s="159" t="s">
        <v>120</v>
      </c>
      <c r="F9" s="160" t="s">
        <v>121</v>
      </c>
      <c r="G9" s="160" t="s">
        <v>122</v>
      </c>
      <c r="H9" s="160" t="s">
        <v>123</v>
      </c>
      <c r="I9" s="161" t="s">
        <v>124</v>
      </c>
      <c r="J9" s="181"/>
      <c r="K9" s="182"/>
      <c r="L9" s="182"/>
      <c r="M9" s="182"/>
      <c r="N9" s="183"/>
      <c r="O9" s="185"/>
      <c r="P9" s="68"/>
      <c r="Q9" s="45"/>
      <c r="R9" s="45"/>
    </row>
    <row r="10" spans="1:18" ht="15.75" x14ac:dyDescent="0.2">
      <c r="A10" s="48"/>
      <c r="B10" s="47"/>
      <c r="C10" s="49"/>
      <c r="D10" s="50"/>
      <c r="E10" s="50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4"/>
      <c r="Q10" s="45"/>
      <c r="R10" s="45"/>
    </row>
    <row r="11" spans="1:18" ht="15.75" x14ac:dyDescent="0.2">
      <c r="A11" s="48"/>
      <c r="B11" s="47"/>
      <c r="C11" s="49"/>
      <c r="D11" s="51">
        <v>20</v>
      </c>
      <c r="E11" s="52">
        <v>40</v>
      </c>
      <c r="F11" s="52">
        <v>80</v>
      </c>
      <c r="G11" s="53">
        <v>160</v>
      </c>
      <c r="H11" s="53">
        <v>320</v>
      </c>
      <c r="I11" s="53">
        <v>640</v>
      </c>
      <c r="J11" s="51">
        <v>20</v>
      </c>
      <c r="K11" s="52">
        <v>40</v>
      </c>
      <c r="L11" s="52">
        <v>80</v>
      </c>
      <c r="M11" s="53">
        <v>160</v>
      </c>
      <c r="N11" s="53">
        <v>320</v>
      </c>
      <c r="O11" s="53">
        <v>640</v>
      </c>
      <c r="P11" s="54"/>
      <c r="Q11" s="45"/>
      <c r="R11" s="45"/>
    </row>
    <row r="12" spans="1:18" ht="16.5" thickBot="1" x14ac:dyDescent="0.25">
      <c r="A12" s="55" t="s">
        <v>58</v>
      </c>
      <c r="B12" s="55" t="s">
        <v>140</v>
      </c>
      <c r="C12" s="55" t="s">
        <v>141</v>
      </c>
      <c r="D12" s="186">
        <v>1</v>
      </c>
      <c r="E12" s="149">
        <v>2</v>
      </c>
      <c r="F12" s="149">
        <v>3</v>
      </c>
      <c r="G12" s="149">
        <v>4</v>
      </c>
      <c r="H12" s="149">
        <v>5</v>
      </c>
      <c r="I12" s="149">
        <v>6</v>
      </c>
      <c r="J12" s="186">
        <v>7</v>
      </c>
      <c r="K12" s="149">
        <v>8</v>
      </c>
      <c r="L12" s="149">
        <v>9</v>
      </c>
      <c r="M12" s="149">
        <v>10</v>
      </c>
      <c r="N12" s="149">
        <v>11</v>
      </c>
      <c r="O12" s="149">
        <v>12</v>
      </c>
      <c r="P12" s="58" t="s">
        <v>140</v>
      </c>
      <c r="Q12" s="55" t="s">
        <v>142</v>
      </c>
      <c r="R12" s="59" t="s">
        <v>143</v>
      </c>
    </row>
    <row r="13" spans="1:18" x14ac:dyDescent="0.2">
      <c r="A13" s="60">
        <v>1</v>
      </c>
      <c r="B13" s="60">
        <f>(A13-1)*7+1</f>
        <v>1</v>
      </c>
      <c r="C13" s="61" t="s">
        <v>118</v>
      </c>
      <c r="D13" s="187">
        <v>0</v>
      </c>
      <c r="E13" s="188">
        <v>4</v>
      </c>
      <c r="F13" s="188">
        <v>30</v>
      </c>
      <c r="G13" s="188">
        <v>78</v>
      </c>
      <c r="H13" s="188">
        <v>82</v>
      </c>
      <c r="I13" s="189">
        <v>116</v>
      </c>
      <c r="J13" s="192">
        <v>4</v>
      </c>
      <c r="K13" s="193">
        <v>3</v>
      </c>
      <c r="L13" s="193">
        <v>37</v>
      </c>
      <c r="M13" s="193">
        <v>72</v>
      </c>
      <c r="N13" s="193">
        <v>78</v>
      </c>
      <c r="O13" s="194">
        <v>104</v>
      </c>
      <c r="P13" s="60">
        <f>B13+4</f>
        <v>5</v>
      </c>
      <c r="Q13" s="60">
        <f>AVERAGE(J19:N20)</f>
        <v>138.69999999999999</v>
      </c>
      <c r="R13" s="60">
        <f>AVERAGE(O19:O20)</f>
        <v>1</v>
      </c>
    </row>
    <row r="14" spans="1:18" ht="15" thickBot="1" x14ac:dyDescent="0.25">
      <c r="A14" s="60"/>
      <c r="B14" s="60"/>
      <c r="C14" s="45" t="s">
        <v>126</v>
      </c>
      <c r="D14" s="190">
        <v>1</v>
      </c>
      <c r="E14" s="191">
        <v>10</v>
      </c>
      <c r="F14" s="191">
        <v>30</v>
      </c>
      <c r="G14" s="191">
        <v>48</v>
      </c>
      <c r="H14" s="191">
        <v>84</v>
      </c>
      <c r="I14" s="75">
        <v>110</v>
      </c>
      <c r="J14" s="195">
        <v>1</v>
      </c>
      <c r="K14" s="196">
        <v>12</v>
      </c>
      <c r="L14" s="196">
        <v>39</v>
      </c>
      <c r="M14" s="196">
        <v>68</v>
      </c>
      <c r="N14" s="196">
        <v>87</v>
      </c>
      <c r="O14" s="197">
        <v>101</v>
      </c>
      <c r="P14" s="60"/>
      <c r="Q14" s="33"/>
      <c r="R14" s="33"/>
    </row>
    <row r="15" spans="1:18" x14ac:dyDescent="0.2">
      <c r="A15" s="60"/>
      <c r="B15" s="33">
        <f>B13+1</f>
        <v>2</v>
      </c>
      <c r="C15" s="45" t="s">
        <v>127</v>
      </c>
      <c r="D15" s="192">
        <v>36</v>
      </c>
      <c r="E15" s="193">
        <v>52</v>
      </c>
      <c r="F15" s="193">
        <v>54</v>
      </c>
      <c r="G15" s="193">
        <v>103</v>
      </c>
      <c r="H15" s="193">
        <v>126</v>
      </c>
      <c r="I15" s="194">
        <v>131</v>
      </c>
      <c r="J15" s="198">
        <v>18</v>
      </c>
      <c r="K15" s="199">
        <v>42</v>
      </c>
      <c r="L15" s="199">
        <v>78</v>
      </c>
      <c r="M15" s="199">
        <v>111</v>
      </c>
      <c r="N15" s="199">
        <v>122</v>
      </c>
      <c r="O15" s="200">
        <v>118</v>
      </c>
      <c r="P15" s="142">
        <f t="shared" ref="P15" si="0">B15+4</f>
        <v>6</v>
      </c>
      <c r="Q15" s="33"/>
      <c r="R15" s="33"/>
    </row>
    <row r="16" spans="1:18" ht="15" thickBot="1" x14ac:dyDescent="0.25">
      <c r="A16" s="60"/>
      <c r="B16" s="33"/>
      <c r="C16" s="45" t="s">
        <v>130</v>
      </c>
      <c r="D16" s="195">
        <v>29</v>
      </c>
      <c r="E16" s="196">
        <v>48</v>
      </c>
      <c r="F16" s="196">
        <v>83</v>
      </c>
      <c r="G16" s="196">
        <v>92</v>
      </c>
      <c r="H16" s="196">
        <v>122</v>
      </c>
      <c r="I16" s="197">
        <v>123</v>
      </c>
      <c r="J16" s="201">
        <v>27</v>
      </c>
      <c r="K16" s="202">
        <v>56</v>
      </c>
      <c r="L16" s="202">
        <v>76</v>
      </c>
      <c r="M16" s="202">
        <v>106</v>
      </c>
      <c r="N16" s="202">
        <v>120</v>
      </c>
      <c r="O16" s="203">
        <v>146</v>
      </c>
      <c r="P16" s="142"/>
      <c r="Q16" s="33"/>
      <c r="R16" s="33"/>
    </row>
    <row r="17" spans="1:18" x14ac:dyDescent="0.2">
      <c r="A17" s="60"/>
      <c r="B17" s="33">
        <f t="shared" ref="B17" si="1">B15+1</f>
        <v>3</v>
      </c>
      <c r="C17" s="45" t="s">
        <v>131</v>
      </c>
      <c r="D17" s="198">
        <v>4</v>
      </c>
      <c r="E17" s="199">
        <v>0</v>
      </c>
      <c r="F17" s="199">
        <v>6</v>
      </c>
      <c r="G17" s="199">
        <v>21</v>
      </c>
      <c r="H17" s="199">
        <v>40</v>
      </c>
      <c r="I17" s="200">
        <v>62</v>
      </c>
      <c r="J17" s="187">
        <v>1</v>
      </c>
      <c r="K17" s="188">
        <v>2</v>
      </c>
      <c r="L17" s="188">
        <v>9</v>
      </c>
      <c r="M17" s="188">
        <v>36</v>
      </c>
      <c r="N17" s="188">
        <v>70</v>
      </c>
      <c r="O17" s="189">
        <v>87</v>
      </c>
      <c r="P17" s="142">
        <f t="shared" ref="P17" si="2">B17+4</f>
        <v>7</v>
      </c>
      <c r="Q17" s="33"/>
      <c r="R17" s="33"/>
    </row>
    <row r="18" spans="1:18" ht="15" thickBot="1" x14ac:dyDescent="0.25">
      <c r="A18" s="60"/>
      <c r="B18" s="33"/>
      <c r="C18" s="45" t="s">
        <v>134</v>
      </c>
      <c r="D18" s="201">
        <v>3</v>
      </c>
      <c r="E18" s="202">
        <v>0</v>
      </c>
      <c r="F18" s="202">
        <v>2</v>
      </c>
      <c r="G18" s="202">
        <v>17</v>
      </c>
      <c r="H18" s="202">
        <v>41</v>
      </c>
      <c r="I18" s="203">
        <v>62</v>
      </c>
      <c r="J18" s="190">
        <v>0</v>
      </c>
      <c r="K18" s="191">
        <v>0</v>
      </c>
      <c r="L18" s="191">
        <v>3</v>
      </c>
      <c r="M18" s="191">
        <v>42</v>
      </c>
      <c r="N18" s="191">
        <v>71</v>
      </c>
      <c r="O18" s="75">
        <v>96</v>
      </c>
      <c r="P18" s="142"/>
      <c r="Q18" s="33"/>
      <c r="R18" s="33"/>
    </row>
    <row r="19" spans="1:18" x14ac:dyDescent="0.2">
      <c r="A19" s="60"/>
      <c r="B19" s="33">
        <f t="shared" ref="B19" si="3">B17+1</f>
        <v>4</v>
      </c>
      <c r="C19" s="45" t="s">
        <v>135</v>
      </c>
      <c r="D19" s="187">
        <v>13</v>
      </c>
      <c r="E19" s="188">
        <v>43</v>
      </c>
      <c r="F19" s="188">
        <v>54</v>
      </c>
      <c r="G19" s="188">
        <v>91</v>
      </c>
      <c r="H19" s="188">
        <v>116</v>
      </c>
      <c r="I19" s="189">
        <v>127</v>
      </c>
      <c r="J19" s="204">
        <v>133</v>
      </c>
      <c r="K19" s="205">
        <v>134</v>
      </c>
      <c r="L19" s="205">
        <v>142</v>
      </c>
      <c r="M19" s="205">
        <v>138</v>
      </c>
      <c r="N19" s="206">
        <v>118</v>
      </c>
      <c r="O19" s="210">
        <v>0</v>
      </c>
      <c r="P19" s="142" t="s">
        <v>144</v>
      </c>
      <c r="Q19" s="33"/>
      <c r="R19" s="33"/>
    </row>
    <row r="20" spans="1:18" ht="15" thickBot="1" x14ac:dyDescent="0.25">
      <c r="A20" s="60"/>
      <c r="B20" s="33"/>
      <c r="C20" s="64" t="s">
        <v>139</v>
      </c>
      <c r="D20" s="190">
        <v>30</v>
      </c>
      <c r="E20" s="191">
        <v>37</v>
      </c>
      <c r="F20" s="191">
        <v>74</v>
      </c>
      <c r="G20" s="191">
        <v>101</v>
      </c>
      <c r="H20" s="191">
        <v>121</v>
      </c>
      <c r="I20" s="75">
        <v>128</v>
      </c>
      <c r="J20" s="207">
        <v>139</v>
      </c>
      <c r="K20" s="208">
        <v>164</v>
      </c>
      <c r="L20" s="208">
        <v>139</v>
      </c>
      <c r="M20" s="208">
        <v>143</v>
      </c>
      <c r="N20" s="209">
        <v>137</v>
      </c>
      <c r="O20" s="211">
        <v>2</v>
      </c>
      <c r="P20" s="142"/>
      <c r="Q20" s="65"/>
      <c r="R20" s="65"/>
    </row>
    <row r="21" spans="1:18" x14ac:dyDescent="0.2">
      <c r="A21" s="60">
        <v>2</v>
      </c>
      <c r="B21" s="60">
        <f>(A21-1)*7+1</f>
        <v>8</v>
      </c>
      <c r="C21" s="61" t="s">
        <v>118</v>
      </c>
      <c r="D21" s="187">
        <v>1</v>
      </c>
      <c r="E21" s="188">
        <v>8</v>
      </c>
      <c r="F21" s="188">
        <v>29</v>
      </c>
      <c r="G21" s="188">
        <v>36</v>
      </c>
      <c r="H21" s="188">
        <v>66</v>
      </c>
      <c r="I21" s="189">
        <v>80</v>
      </c>
      <c r="J21" s="192">
        <v>11</v>
      </c>
      <c r="K21" s="193">
        <v>44</v>
      </c>
      <c r="L21" s="193">
        <v>53</v>
      </c>
      <c r="M21" s="193">
        <v>83</v>
      </c>
      <c r="N21" s="193">
        <v>103</v>
      </c>
      <c r="O21" s="194">
        <v>83</v>
      </c>
      <c r="P21" s="62">
        <f>B21+4</f>
        <v>12</v>
      </c>
      <c r="Q21" s="60">
        <f>AVERAGE(J27:N28)</f>
        <v>133.4</v>
      </c>
      <c r="R21" s="60">
        <f t="shared" ref="R21" si="4">AVERAGE(O27:O28)</f>
        <v>2</v>
      </c>
    </row>
    <row r="22" spans="1:18" ht="15" thickBot="1" x14ac:dyDescent="0.25">
      <c r="A22" s="60"/>
      <c r="B22" s="60"/>
      <c r="C22" s="45" t="s">
        <v>126</v>
      </c>
      <c r="D22" s="190">
        <v>2</v>
      </c>
      <c r="E22" s="191">
        <v>8</v>
      </c>
      <c r="F22" s="191">
        <v>20</v>
      </c>
      <c r="G22" s="191">
        <v>48</v>
      </c>
      <c r="H22" s="191">
        <v>83</v>
      </c>
      <c r="I22" s="75">
        <v>82</v>
      </c>
      <c r="J22" s="195">
        <v>8</v>
      </c>
      <c r="K22" s="196">
        <v>41</v>
      </c>
      <c r="L22" s="196">
        <v>53</v>
      </c>
      <c r="M22" s="196">
        <v>83</v>
      </c>
      <c r="N22" s="196">
        <v>98</v>
      </c>
      <c r="O22" s="197">
        <v>103</v>
      </c>
      <c r="P22" s="62"/>
      <c r="Q22" s="33"/>
      <c r="R22" s="33"/>
    </row>
    <row r="23" spans="1:18" x14ac:dyDescent="0.2">
      <c r="A23" s="60"/>
      <c r="B23" s="33">
        <f>B21+1</f>
        <v>9</v>
      </c>
      <c r="C23" s="45" t="s">
        <v>127</v>
      </c>
      <c r="D23" s="192">
        <v>4</v>
      </c>
      <c r="E23" s="193">
        <v>18</v>
      </c>
      <c r="F23" s="193">
        <v>28</v>
      </c>
      <c r="G23" s="193">
        <v>79</v>
      </c>
      <c r="H23" s="193">
        <v>97</v>
      </c>
      <c r="I23" s="194">
        <v>106</v>
      </c>
      <c r="J23" s="198">
        <v>0</v>
      </c>
      <c r="K23" s="199">
        <v>0</v>
      </c>
      <c r="L23" s="199">
        <v>1</v>
      </c>
      <c r="M23" s="199">
        <v>13</v>
      </c>
      <c r="N23" s="199">
        <v>41</v>
      </c>
      <c r="O23" s="200">
        <v>54</v>
      </c>
      <c r="P23" s="63">
        <f t="shared" ref="P23" si="5">B23+4</f>
        <v>13</v>
      </c>
      <c r="Q23" s="33"/>
      <c r="R23" s="33"/>
    </row>
    <row r="24" spans="1:18" ht="15" thickBot="1" x14ac:dyDescent="0.25">
      <c r="A24" s="60"/>
      <c r="B24" s="33"/>
      <c r="C24" s="45" t="s">
        <v>130</v>
      </c>
      <c r="D24" s="195">
        <v>1</v>
      </c>
      <c r="E24" s="196">
        <v>20</v>
      </c>
      <c r="F24" s="196">
        <v>43</v>
      </c>
      <c r="G24" s="196">
        <v>63</v>
      </c>
      <c r="H24" s="196">
        <v>90</v>
      </c>
      <c r="I24" s="197">
        <v>94</v>
      </c>
      <c r="J24" s="201">
        <v>0</v>
      </c>
      <c r="K24" s="202">
        <v>0</v>
      </c>
      <c r="L24" s="202">
        <v>1</v>
      </c>
      <c r="M24" s="202">
        <v>12</v>
      </c>
      <c r="N24" s="202">
        <v>39</v>
      </c>
      <c r="O24" s="203">
        <v>60</v>
      </c>
      <c r="P24" s="63"/>
      <c r="Q24" s="33"/>
      <c r="R24" s="33"/>
    </row>
    <row r="25" spans="1:18" x14ac:dyDescent="0.2">
      <c r="A25" s="60"/>
      <c r="B25" s="33">
        <f t="shared" ref="B25" si="6">B23+1</f>
        <v>10</v>
      </c>
      <c r="C25" s="45" t="s">
        <v>131</v>
      </c>
      <c r="D25" s="198">
        <v>10</v>
      </c>
      <c r="E25" s="199">
        <v>17</v>
      </c>
      <c r="F25" s="199">
        <v>36</v>
      </c>
      <c r="G25" s="199">
        <v>46</v>
      </c>
      <c r="H25" s="199">
        <v>73</v>
      </c>
      <c r="I25" s="200">
        <v>97</v>
      </c>
      <c r="J25" s="187">
        <v>1</v>
      </c>
      <c r="K25" s="188">
        <v>3</v>
      </c>
      <c r="L25" s="188">
        <v>16</v>
      </c>
      <c r="M25" s="188">
        <v>46</v>
      </c>
      <c r="N25" s="188">
        <v>76</v>
      </c>
      <c r="O25" s="189">
        <v>100</v>
      </c>
      <c r="P25" s="63">
        <f t="shared" ref="P25" si="7">B25+4</f>
        <v>14</v>
      </c>
      <c r="Q25" s="33"/>
      <c r="R25" s="33"/>
    </row>
    <row r="26" spans="1:18" ht="15" thickBot="1" x14ac:dyDescent="0.25">
      <c r="A26" s="60"/>
      <c r="B26" s="33"/>
      <c r="C26" s="45" t="s">
        <v>134</v>
      </c>
      <c r="D26" s="201">
        <v>7</v>
      </c>
      <c r="E26" s="202">
        <v>29</v>
      </c>
      <c r="F26" s="202">
        <v>37</v>
      </c>
      <c r="G26" s="202">
        <v>70</v>
      </c>
      <c r="H26" s="202">
        <v>89</v>
      </c>
      <c r="I26" s="203">
        <v>114</v>
      </c>
      <c r="J26" s="190">
        <v>3</v>
      </c>
      <c r="K26" s="191">
        <v>9</v>
      </c>
      <c r="L26" s="191">
        <v>21</v>
      </c>
      <c r="M26" s="191">
        <v>50</v>
      </c>
      <c r="N26" s="191">
        <v>104</v>
      </c>
      <c r="O26" s="75">
        <v>116</v>
      </c>
      <c r="P26" s="63"/>
      <c r="Q26" s="33"/>
      <c r="R26" s="33"/>
    </row>
    <row r="27" spans="1:18" x14ac:dyDescent="0.2">
      <c r="A27" s="60"/>
      <c r="B27" s="33">
        <f t="shared" ref="B27" si="8">B25+1</f>
        <v>11</v>
      </c>
      <c r="C27" s="45" t="s">
        <v>135</v>
      </c>
      <c r="D27" s="187">
        <v>0</v>
      </c>
      <c r="E27" s="188">
        <v>1</v>
      </c>
      <c r="F27" s="188">
        <v>12</v>
      </c>
      <c r="G27" s="188">
        <v>30</v>
      </c>
      <c r="H27" s="188">
        <v>44</v>
      </c>
      <c r="I27" s="189">
        <v>76</v>
      </c>
      <c r="J27" s="204">
        <v>116</v>
      </c>
      <c r="K27" s="205">
        <v>146</v>
      </c>
      <c r="L27" s="205">
        <v>122</v>
      </c>
      <c r="M27" s="205">
        <v>101</v>
      </c>
      <c r="N27" s="206">
        <v>133</v>
      </c>
      <c r="O27" s="210">
        <v>0</v>
      </c>
      <c r="P27" s="63" t="s">
        <v>144</v>
      </c>
      <c r="Q27" s="33"/>
      <c r="R27" s="33"/>
    </row>
    <row r="28" spans="1:18" ht="15" thickBot="1" x14ac:dyDescent="0.25">
      <c r="A28" s="60"/>
      <c r="B28" s="33"/>
      <c r="C28" s="64" t="s">
        <v>139</v>
      </c>
      <c r="D28" s="190">
        <v>2</v>
      </c>
      <c r="E28" s="191">
        <v>2</v>
      </c>
      <c r="F28" s="191">
        <v>6</v>
      </c>
      <c r="G28" s="191">
        <v>26</v>
      </c>
      <c r="H28" s="191">
        <v>63</v>
      </c>
      <c r="I28" s="75">
        <v>90</v>
      </c>
      <c r="J28" s="207">
        <v>151</v>
      </c>
      <c r="K28" s="208">
        <v>141</v>
      </c>
      <c r="L28" s="208">
        <v>151</v>
      </c>
      <c r="M28" s="208">
        <v>132</v>
      </c>
      <c r="N28" s="209">
        <v>141</v>
      </c>
      <c r="O28" s="211">
        <v>4</v>
      </c>
      <c r="P28" s="63"/>
      <c r="Q28" s="65"/>
      <c r="R28" s="65"/>
    </row>
    <row r="29" spans="1:18" x14ac:dyDescent="0.2">
      <c r="A29" s="60">
        <v>3</v>
      </c>
      <c r="B29" s="60">
        <f>(A29-1)*7+1</f>
        <v>15</v>
      </c>
      <c r="C29" s="61" t="s">
        <v>118</v>
      </c>
      <c r="D29" s="187">
        <v>6</v>
      </c>
      <c r="E29" s="188">
        <v>17</v>
      </c>
      <c r="F29" s="188">
        <v>70</v>
      </c>
      <c r="G29" s="188">
        <v>73</v>
      </c>
      <c r="H29" s="188">
        <v>98</v>
      </c>
      <c r="I29" s="189">
        <v>122</v>
      </c>
      <c r="J29" s="192">
        <v>0</v>
      </c>
      <c r="K29" s="193">
        <v>0</v>
      </c>
      <c r="L29" s="193">
        <v>0</v>
      </c>
      <c r="M29" s="193">
        <v>16</v>
      </c>
      <c r="N29" s="193">
        <v>48</v>
      </c>
      <c r="O29" s="194">
        <v>59</v>
      </c>
      <c r="P29" s="62">
        <f t="shared" ref="P29" si="9">B29+4</f>
        <v>19</v>
      </c>
      <c r="Q29" s="60">
        <f>AVERAGE(J35:N36)</f>
        <v>148</v>
      </c>
      <c r="R29" s="60">
        <f>AVERAGE(O35:O36)</f>
        <v>1</v>
      </c>
    </row>
    <row r="30" spans="1:18" ht="15" thickBot="1" x14ac:dyDescent="0.25">
      <c r="A30" s="60"/>
      <c r="B30" s="60"/>
      <c r="C30" s="45" t="s">
        <v>126</v>
      </c>
      <c r="D30" s="190">
        <v>2</v>
      </c>
      <c r="E30" s="191">
        <v>24</v>
      </c>
      <c r="F30" s="191">
        <v>50</v>
      </c>
      <c r="G30" s="191">
        <v>77</v>
      </c>
      <c r="H30" s="191">
        <v>100</v>
      </c>
      <c r="I30" s="75">
        <v>108</v>
      </c>
      <c r="J30" s="195">
        <v>0</v>
      </c>
      <c r="K30" s="196">
        <v>1</v>
      </c>
      <c r="L30" s="196">
        <v>6</v>
      </c>
      <c r="M30" s="196">
        <v>11</v>
      </c>
      <c r="N30" s="196">
        <v>38</v>
      </c>
      <c r="O30" s="197">
        <v>84</v>
      </c>
      <c r="P30" s="62"/>
      <c r="Q30" s="33"/>
      <c r="R30" s="33"/>
    </row>
    <row r="31" spans="1:18" x14ac:dyDescent="0.2">
      <c r="A31" s="60"/>
      <c r="B31" s="33">
        <f t="shared" ref="B31" si="10">B29+1</f>
        <v>16</v>
      </c>
      <c r="C31" s="45" t="s">
        <v>127</v>
      </c>
      <c r="D31" s="192">
        <v>7</v>
      </c>
      <c r="E31" s="193">
        <v>29</v>
      </c>
      <c r="F31" s="193">
        <v>33</v>
      </c>
      <c r="G31" s="193">
        <v>58</v>
      </c>
      <c r="H31" s="193">
        <v>109</v>
      </c>
      <c r="I31" s="194">
        <v>119</v>
      </c>
      <c r="J31" s="198">
        <v>0</v>
      </c>
      <c r="K31" s="199">
        <v>1</v>
      </c>
      <c r="L31" s="199">
        <v>13</v>
      </c>
      <c r="M31" s="199">
        <v>43</v>
      </c>
      <c r="N31" s="199">
        <v>81</v>
      </c>
      <c r="O31" s="200">
        <v>106</v>
      </c>
      <c r="P31" s="63">
        <f t="shared" ref="P31:P47" si="11">B31+4</f>
        <v>20</v>
      </c>
      <c r="Q31" s="33"/>
      <c r="R31" s="33"/>
    </row>
    <row r="32" spans="1:18" ht="15" thickBot="1" x14ac:dyDescent="0.25">
      <c r="A32" s="60"/>
      <c r="B32" s="33"/>
      <c r="C32" s="45" t="s">
        <v>130</v>
      </c>
      <c r="D32" s="195">
        <v>4</v>
      </c>
      <c r="E32" s="196">
        <v>11</v>
      </c>
      <c r="F32" s="196">
        <v>38</v>
      </c>
      <c r="G32" s="196">
        <v>56</v>
      </c>
      <c r="H32" s="196">
        <v>78</v>
      </c>
      <c r="I32" s="197">
        <v>92</v>
      </c>
      <c r="J32" s="201">
        <v>0</v>
      </c>
      <c r="K32" s="202">
        <v>6</v>
      </c>
      <c r="L32" s="202">
        <v>8</v>
      </c>
      <c r="M32" s="202">
        <v>36</v>
      </c>
      <c r="N32" s="202">
        <v>78</v>
      </c>
      <c r="O32" s="203">
        <v>101</v>
      </c>
      <c r="P32" s="63"/>
      <c r="Q32" s="33"/>
      <c r="R32" s="33"/>
    </row>
    <row r="33" spans="1:18" x14ac:dyDescent="0.2">
      <c r="A33" s="60"/>
      <c r="B33" s="33">
        <f t="shared" ref="B33:B49" si="12">B31+1</f>
        <v>17</v>
      </c>
      <c r="C33" s="45" t="s">
        <v>131</v>
      </c>
      <c r="D33" s="198">
        <v>4</v>
      </c>
      <c r="E33" s="199">
        <v>0</v>
      </c>
      <c r="F33" s="199">
        <v>11</v>
      </c>
      <c r="G33" s="199">
        <v>27</v>
      </c>
      <c r="H33" s="199">
        <v>56</v>
      </c>
      <c r="I33" s="200">
        <v>80</v>
      </c>
      <c r="J33" s="187">
        <v>1</v>
      </c>
      <c r="K33" s="188">
        <v>7</v>
      </c>
      <c r="L33" s="188">
        <v>12</v>
      </c>
      <c r="M33" s="188">
        <v>30</v>
      </c>
      <c r="N33" s="188">
        <v>73</v>
      </c>
      <c r="O33" s="189">
        <v>90</v>
      </c>
      <c r="P33" s="63">
        <f t="shared" ref="P33:P49" si="13">B33+4</f>
        <v>21</v>
      </c>
      <c r="Q33" s="33"/>
      <c r="R33" s="33"/>
    </row>
    <row r="34" spans="1:18" ht="15" thickBot="1" x14ac:dyDescent="0.25">
      <c r="A34" s="60"/>
      <c r="B34" s="33"/>
      <c r="C34" s="45" t="s">
        <v>134</v>
      </c>
      <c r="D34" s="201">
        <v>3</v>
      </c>
      <c r="E34" s="202">
        <v>3</v>
      </c>
      <c r="F34" s="202">
        <v>14</v>
      </c>
      <c r="G34" s="202">
        <v>48</v>
      </c>
      <c r="H34" s="202">
        <v>67</v>
      </c>
      <c r="I34" s="203">
        <v>83</v>
      </c>
      <c r="J34" s="190">
        <v>3</v>
      </c>
      <c r="K34" s="191">
        <v>0</v>
      </c>
      <c r="L34" s="191">
        <v>18</v>
      </c>
      <c r="M34" s="191">
        <v>33</v>
      </c>
      <c r="N34" s="191">
        <v>56</v>
      </c>
      <c r="O34" s="75">
        <v>89</v>
      </c>
      <c r="P34" s="63"/>
      <c r="Q34" s="33"/>
      <c r="R34" s="33"/>
    </row>
    <row r="35" spans="1:18" x14ac:dyDescent="0.2">
      <c r="A35" s="60"/>
      <c r="B35" s="33">
        <f t="shared" ref="B35:B51" si="14">B33+1</f>
        <v>18</v>
      </c>
      <c r="C35" s="45" t="s">
        <v>135</v>
      </c>
      <c r="D35" s="187">
        <v>2</v>
      </c>
      <c r="E35" s="188">
        <v>17</v>
      </c>
      <c r="F35" s="188">
        <v>29</v>
      </c>
      <c r="G35" s="188">
        <v>72</v>
      </c>
      <c r="H35" s="188">
        <v>94</v>
      </c>
      <c r="I35" s="189">
        <v>111</v>
      </c>
      <c r="J35" s="204">
        <v>134</v>
      </c>
      <c r="K35" s="205">
        <v>143</v>
      </c>
      <c r="L35" s="205">
        <v>139</v>
      </c>
      <c r="M35" s="205">
        <v>153</v>
      </c>
      <c r="N35" s="206">
        <v>137</v>
      </c>
      <c r="O35" s="210">
        <v>0</v>
      </c>
      <c r="P35" s="63" t="s">
        <v>144</v>
      </c>
      <c r="Q35" s="33"/>
      <c r="R35" s="33"/>
    </row>
    <row r="36" spans="1:18" ht="15" thickBot="1" x14ac:dyDescent="0.25">
      <c r="A36" s="60"/>
      <c r="B36" s="33"/>
      <c r="C36" s="64" t="s">
        <v>139</v>
      </c>
      <c r="D36" s="190">
        <v>8</v>
      </c>
      <c r="E36" s="191">
        <v>10</v>
      </c>
      <c r="F36" s="191">
        <v>48</v>
      </c>
      <c r="G36" s="191">
        <v>68</v>
      </c>
      <c r="H36" s="191">
        <v>94</v>
      </c>
      <c r="I36" s="75">
        <v>111</v>
      </c>
      <c r="J36" s="207">
        <v>153</v>
      </c>
      <c r="K36" s="208">
        <v>150</v>
      </c>
      <c r="L36" s="208">
        <v>164</v>
      </c>
      <c r="M36" s="208">
        <v>146</v>
      </c>
      <c r="N36" s="209">
        <v>161</v>
      </c>
      <c r="O36" s="211">
        <v>2</v>
      </c>
      <c r="P36" s="63"/>
      <c r="Q36" s="65"/>
      <c r="R36" s="65"/>
    </row>
    <row r="37" spans="1:18" x14ac:dyDescent="0.2">
      <c r="A37" s="60">
        <v>4</v>
      </c>
      <c r="B37" s="60">
        <f>(A37-1)*7+1</f>
        <v>22</v>
      </c>
      <c r="C37" s="61" t="s">
        <v>118</v>
      </c>
      <c r="D37" s="187">
        <v>0</v>
      </c>
      <c r="E37" s="188">
        <v>8</v>
      </c>
      <c r="F37" s="188">
        <v>33</v>
      </c>
      <c r="G37" s="188">
        <v>48</v>
      </c>
      <c r="H37" s="188">
        <v>96</v>
      </c>
      <c r="I37" s="189">
        <v>99</v>
      </c>
      <c r="J37" s="192">
        <v>3</v>
      </c>
      <c r="K37" s="193">
        <v>10</v>
      </c>
      <c r="L37" s="193">
        <v>30</v>
      </c>
      <c r="M37" s="193">
        <v>62</v>
      </c>
      <c r="N37" s="193">
        <v>71</v>
      </c>
      <c r="O37" s="194">
        <v>113</v>
      </c>
      <c r="P37" s="62">
        <f t="shared" ref="P37" si="15">B37+4</f>
        <v>26</v>
      </c>
      <c r="Q37" s="60">
        <f>AVERAGE(J43:N44)</f>
        <v>137.19999999999999</v>
      </c>
      <c r="R37" s="60">
        <f>AVERAGE(O43:O44)</f>
        <v>1.5</v>
      </c>
    </row>
    <row r="38" spans="1:18" ht="15" thickBot="1" x14ac:dyDescent="0.25">
      <c r="A38" s="60"/>
      <c r="B38" s="60"/>
      <c r="C38" s="45" t="s">
        <v>126</v>
      </c>
      <c r="D38" s="190">
        <v>1</v>
      </c>
      <c r="E38" s="191">
        <v>8</v>
      </c>
      <c r="F38" s="191">
        <v>18</v>
      </c>
      <c r="G38" s="191">
        <v>58</v>
      </c>
      <c r="H38" s="191">
        <v>87</v>
      </c>
      <c r="I38" s="75">
        <v>111</v>
      </c>
      <c r="J38" s="195">
        <v>3</v>
      </c>
      <c r="K38" s="196">
        <v>3</v>
      </c>
      <c r="L38" s="196">
        <v>20</v>
      </c>
      <c r="M38" s="196">
        <v>42</v>
      </c>
      <c r="N38" s="196">
        <v>82</v>
      </c>
      <c r="O38" s="197">
        <v>111</v>
      </c>
      <c r="P38" s="62"/>
      <c r="Q38" s="33"/>
      <c r="R38" s="33"/>
    </row>
    <row r="39" spans="1:18" x14ac:dyDescent="0.2">
      <c r="A39" s="60"/>
      <c r="B39" s="33">
        <f t="shared" ref="B39" si="16">B37+1</f>
        <v>23</v>
      </c>
      <c r="C39" s="45" t="s">
        <v>127</v>
      </c>
      <c r="D39" s="192">
        <v>3</v>
      </c>
      <c r="E39" s="193">
        <v>14</v>
      </c>
      <c r="F39" s="193">
        <v>36</v>
      </c>
      <c r="G39" s="193">
        <v>63</v>
      </c>
      <c r="H39" s="193">
        <v>93</v>
      </c>
      <c r="I39" s="194">
        <v>102</v>
      </c>
      <c r="J39" s="198">
        <v>0</v>
      </c>
      <c r="K39" s="199">
        <v>8</v>
      </c>
      <c r="L39" s="199">
        <v>20</v>
      </c>
      <c r="M39" s="199">
        <v>46</v>
      </c>
      <c r="N39" s="199">
        <v>64</v>
      </c>
      <c r="O39" s="200">
        <v>90</v>
      </c>
      <c r="P39" s="63">
        <f t="shared" si="11"/>
        <v>27</v>
      </c>
      <c r="Q39" s="33"/>
      <c r="R39" s="33"/>
    </row>
    <row r="40" spans="1:18" ht="15" thickBot="1" x14ac:dyDescent="0.25">
      <c r="A40" s="60"/>
      <c r="B40" s="33"/>
      <c r="C40" s="45" t="s">
        <v>130</v>
      </c>
      <c r="D40" s="195">
        <v>3</v>
      </c>
      <c r="E40" s="196">
        <v>13</v>
      </c>
      <c r="F40" s="196">
        <v>29</v>
      </c>
      <c r="G40" s="196">
        <v>77</v>
      </c>
      <c r="H40" s="196">
        <v>73</v>
      </c>
      <c r="I40" s="197">
        <v>113</v>
      </c>
      <c r="J40" s="201">
        <v>1</v>
      </c>
      <c r="K40" s="202">
        <v>6</v>
      </c>
      <c r="L40" s="202">
        <v>29</v>
      </c>
      <c r="M40" s="202">
        <v>30</v>
      </c>
      <c r="N40" s="202">
        <v>71</v>
      </c>
      <c r="O40" s="203">
        <v>83</v>
      </c>
      <c r="P40" s="63"/>
      <c r="Q40" s="33"/>
      <c r="R40" s="33"/>
    </row>
    <row r="41" spans="1:18" x14ac:dyDescent="0.2">
      <c r="A41" s="60"/>
      <c r="B41" s="33">
        <f t="shared" si="12"/>
        <v>24</v>
      </c>
      <c r="C41" s="45" t="s">
        <v>131</v>
      </c>
      <c r="D41" s="198">
        <v>3</v>
      </c>
      <c r="E41" s="199">
        <v>1</v>
      </c>
      <c r="F41" s="199">
        <v>7</v>
      </c>
      <c r="G41" s="199">
        <v>26</v>
      </c>
      <c r="H41" s="199">
        <v>49</v>
      </c>
      <c r="I41" s="200">
        <v>80</v>
      </c>
      <c r="J41" s="187">
        <v>0</v>
      </c>
      <c r="K41" s="188">
        <v>1</v>
      </c>
      <c r="L41" s="188">
        <v>3</v>
      </c>
      <c r="M41" s="188">
        <v>9</v>
      </c>
      <c r="N41" s="188">
        <v>34</v>
      </c>
      <c r="O41" s="189">
        <v>58</v>
      </c>
      <c r="P41" s="63">
        <f t="shared" si="13"/>
        <v>28</v>
      </c>
      <c r="Q41" s="33"/>
      <c r="R41" s="33"/>
    </row>
    <row r="42" spans="1:18" ht="15" thickBot="1" x14ac:dyDescent="0.25">
      <c r="A42" s="60"/>
      <c r="B42" s="33"/>
      <c r="C42" s="45" t="s">
        <v>134</v>
      </c>
      <c r="D42" s="201">
        <v>3</v>
      </c>
      <c r="E42" s="202">
        <v>2</v>
      </c>
      <c r="F42" s="202">
        <v>6</v>
      </c>
      <c r="G42" s="202">
        <v>29</v>
      </c>
      <c r="H42" s="202">
        <v>54</v>
      </c>
      <c r="I42" s="203">
        <v>72</v>
      </c>
      <c r="J42" s="190">
        <v>1</v>
      </c>
      <c r="K42" s="191">
        <v>0</v>
      </c>
      <c r="L42" s="191">
        <v>1</v>
      </c>
      <c r="M42" s="191">
        <v>7</v>
      </c>
      <c r="N42" s="191">
        <v>36</v>
      </c>
      <c r="O42" s="75">
        <v>47</v>
      </c>
      <c r="P42" s="63"/>
      <c r="Q42" s="33"/>
      <c r="R42" s="33"/>
    </row>
    <row r="43" spans="1:18" x14ac:dyDescent="0.2">
      <c r="A43" s="60"/>
      <c r="B43" s="33">
        <f t="shared" si="14"/>
        <v>25</v>
      </c>
      <c r="C43" s="45" t="s">
        <v>135</v>
      </c>
      <c r="D43" s="187">
        <v>0</v>
      </c>
      <c r="E43" s="188">
        <v>0</v>
      </c>
      <c r="F43" s="188">
        <v>4</v>
      </c>
      <c r="G43" s="188">
        <v>19</v>
      </c>
      <c r="H43" s="188">
        <v>44</v>
      </c>
      <c r="I43" s="189">
        <v>71</v>
      </c>
      <c r="J43" s="204">
        <v>148</v>
      </c>
      <c r="K43" s="205">
        <v>134</v>
      </c>
      <c r="L43" s="205">
        <v>127</v>
      </c>
      <c r="M43" s="205">
        <v>118</v>
      </c>
      <c r="N43" s="206">
        <v>146</v>
      </c>
      <c r="O43" s="210">
        <v>1</v>
      </c>
      <c r="P43" s="63" t="s">
        <v>144</v>
      </c>
      <c r="Q43" s="33"/>
      <c r="R43" s="33"/>
    </row>
    <row r="44" spans="1:18" ht="15" thickBot="1" x14ac:dyDescent="0.25">
      <c r="A44" s="60"/>
      <c r="B44" s="33"/>
      <c r="C44" s="64" t="s">
        <v>139</v>
      </c>
      <c r="D44" s="190">
        <v>2</v>
      </c>
      <c r="E44" s="191">
        <v>0</v>
      </c>
      <c r="F44" s="191">
        <v>2</v>
      </c>
      <c r="G44" s="191">
        <v>26</v>
      </c>
      <c r="H44" s="191">
        <v>61</v>
      </c>
      <c r="I44" s="75">
        <v>91</v>
      </c>
      <c r="J44" s="207">
        <v>140</v>
      </c>
      <c r="K44" s="208">
        <v>138</v>
      </c>
      <c r="L44" s="208">
        <v>140</v>
      </c>
      <c r="M44" s="208">
        <v>134</v>
      </c>
      <c r="N44" s="209">
        <v>147</v>
      </c>
      <c r="O44" s="211">
        <v>2</v>
      </c>
      <c r="P44" s="63"/>
      <c r="Q44" s="65"/>
      <c r="R44" s="65"/>
    </row>
    <row r="45" spans="1:18" x14ac:dyDescent="0.2">
      <c r="A45" s="60">
        <v>5</v>
      </c>
      <c r="B45" s="60">
        <f>(A45-1)*7+1</f>
        <v>29</v>
      </c>
      <c r="C45" s="61" t="s">
        <v>118</v>
      </c>
      <c r="D45" s="187">
        <v>131</v>
      </c>
      <c r="E45" s="188">
        <v>112</v>
      </c>
      <c r="F45" s="188">
        <v>127</v>
      </c>
      <c r="G45" s="188">
        <v>123</v>
      </c>
      <c r="H45" s="188">
        <v>126</v>
      </c>
      <c r="I45" s="189">
        <v>131</v>
      </c>
      <c r="J45" s="192">
        <v>119</v>
      </c>
      <c r="K45" s="193">
        <v>117</v>
      </c>
      <c r="L45" s="193">
        <v>114</v>
      </c>
      <c r="M45" s="193">
        <v>129</v>
      </c>
      <c r="N45" s="193">
        <v>99</v>
      </c>
      <c r="O45" s="194">
        <v>111</v>
      </c>
      <c r="P45" s="62">
        <f t="shared" ref="P45" si="17">B45+4</f>
        <v>33</v>
      </c>
      <c r="Q45" s="60">
        <f>AVERAGE(J51:N52)</f>
        <v>131.5</v>
      </c>
      <c r="R45" s="60">
        <f>AVERAGE(O51:O52)</f>
        <v>1</v>
      </c>
    </row>
    <row r="46" spans="1:18" ht="15" thickBot="1" x14ac:dyDescent="0.25">
      <c r="A46" s="60"/>
      <c r="B46" s="60"/>
      <c r="C46" s="45" t="s">
        <v>126</v>
      </c>
      <c r="D46" s="190">
        <v>129</v>
      </c>
      <c r="E46" s="191">
        <v>126</v>
      </c>
      <c r="F46" s="191">
        <v>127</v>
      </c>
      <c r="G46" s="191">
        <v>129</v>
      </c>
      <c r="H46" s="191">
        <v>147</v>
      </c>
      <c r="I46" s="75">
        <v>134</v>
      </c>
      <c r="J46" s="195">
        <v>127</v>
      </c>
      <c r="K46" s="196">
        <v>122</v>
      </c>
      <c r="L46" s="196">
        <v>112</v>
      </c>
      <c r="M46" s="196">
        <v>114</v>
      </c>
      <c r="N46" s="196">
        <v>99</v>
      </c>
      <c r="O46" s="197">
        <v>113</v>
      </c>
      <c r="P46" s="62"/>
      <c r="Q46" s="33"/>
      <c r="R46" s="33"/>
    </row>
    <row r="47" spans="1:18" x14ac:dyDescent="0.2">
      <c r="A47" s="60"/>
      <c r="B47" s="33">
        <f t="shared" ref="B47" si="18">B45+1</f>
        <v>30</v>
      </c>
      <c r="C47" s="45" t="s">
        <v>127</v>
      </c>
      <c r="D47" s="192">
        <v>112</v>
      </c>
      <c r="E47" s="193">
        <v>126</v>
      </c>
      <c r="F47" s="193">
        <v>148</v>
      </c>
      <c r="G47" s="193">
        <v>150</v>
      </c>
      <c r="H47" s="193">
        <v>149</v>
      </c>
      <c r="I47" s="194">
        <v>140</v>
      </c>
      <c r="J47" s="198">
        <v>132</v>
      </c>
      <c r="K47" s="199">
        <v>128</v>
      </c>
      <c r="L47" s="199">
        <v>101</v>
      </c>
      <c r="M47" s="199">
        <v>138</v>
      </c>
      <c r="N47" s="199">
        <v>131</v>
      </c>
      <c r="O47" s="200">
        <v>112</v>
      </c>
      <c r="P47" s="63">
        <f t="shared" si="11"/>
        <v>34</v>
      </c>
      <c r="Q47" s="33"/>
      <c r="R47" s="33"/>
    </row>
    <row r="48" spans="1:18" ht="15" thickBot="1" x14ac:dyDescent="0.25">
      <c r="A48" s="60"/>
      <c r="B48" s="33"/>
      <c r="C48" s="45" t="s">
        <v>130</v>
      </c>
      <c r="D48" s="195">
        <v>147</v>
      </c>
      <c r="E48" s="196">
        <v>141</v>
      </c>
      <c r="F48" s="196">
        <v>151</v>
      </c>
      <c r="G48" s="196">
        <v>131</v>
      </c>
      <c r="H48" s="196">
        <v>120</v>
      </c>
      <c r="I48" s="197">
        <v>128</v>
      </c>
      <c r="J48" s="201">
        <v>121</v>
      </c>
      <c r="K48" s="202">
        <v>122</v>
      </c>
      <c r="L48" s="202">
        <v>104</v>
      </c>
      <c r="M48" s="202">
        <v>120</v>
      </c>
      <c r="N48" s="202">
        <v>127</v>
      </c>
      <c r="O48" s="203">
        <v>103</v>
      </c>
      <c r="P48" s="63"/>
      <c r="Q48" s="33"/>
      <c r="R48" s="33"/>
    </row>
    <row r="49" spans="1:18" x14ac:dyDescent="0.2">
      <c r="A49" s="60"/>
      <c r="B49" s="33">
        <f t="shared" si="12"/>
        <v>31</v>
      </c>
      <c r="C49" s="45" t="s">
        <v>131</v>
      </c>
      <c r="D49" s="198">
        <v>133</v>
      </c>
      <c r="E49" s="199">
        <v>124</v>
      </c>
      <c r="F49" s="199">
        <v>120</v>
      </c>
      <c r="G49" s="199">
        <v>118</v>
      </c>
      <c r="H49" s="199">
        <v>118</v>
      </c>
      <c r="I49" s="200">
        <v>124</v>
      </c>
      <c r="J49" s="187">
        <v>137</v>
      </c>
      <c r="K49" s="188">
        <v>106</v>
      </c>
      <c r="L49" s="188">
        <v>111</v>
      </c>
      <c r="M49" s="188">
        <v>90</v>
      </c>
      <c r="N49" s="188">
        <v>134</v>
      </c>
      <c r="O49" s="189">
        <v>114</v>
      </c>
      <c r="P49" s="63">
        <f t="shared" si="13"/>
        <v>35</v>
      </c>
      <c r="Q49" s="33"/>
      <c r="R49" s="33"/>
    </row>
    <row r="50" spans="1:18" ht="15" thickBot="1" x14ac:dyDescent="0.25">
      <c r="A50" s="60"/>
      <c r="B50" s="33"/>
      <c r="C50" s="45" t="s">
        <v>134</v>
      </c>
      <c r="D50" s="201">
        <v>132</v>
      </c>
      <c r="E50" s="202">
        <v>126</v>
      </c>
      <c r="F50" s="202">
        <v>128</v>
      </c>
      <c r="G50" s="202">
        <v>119</v>
      </c>
      <c r="H50" s="202">
        <v>100</v>
      </c>
      <c r="I50" s="203">
        <v>111</v>
      </c>
      <c r="J50" s="190">
        <v>117</v>
      </c>
      <c r="K50" s="191">
        <v>110</v>
      </c>
      <c r="L50" s="191">
        <v>118</v>
      </c>
      <c r="M50" s="191">
        <v>107</v>
      </c>
      <c r="N50" s="191">
        <v>127</v>
      </c>
      <c r="O50" s="75">
        <v>110</v>
      </c>
      <c r="P50" s="63"/>
      <c r="Q50" s="33"/>
      <c r="R50" s="33"/>
    </row>
    <row r="51" spans="1:18" x14ac:dyDescent="0.2">
      <c r="A51" s="60"/>
      <c r="B51" s="33">
        <f t="shared" si="14"/>
        <v>32</v>
      </c>
      <c r="C51" s="45" t="s">
        <v>135</v>
      </c>
      <c r="D51" s="187">
        <v>149</v>
      </c>
      <c r="E51" s="188">
        <v>121</v>
      </c>
      <c r="F51" s="188">
        <v>121</v>
      </c>
      <c r="G51" s="188">
        <v>127</v>
      </c>
      <c r="H51" s="188">
        <v>114</v>
      </c>
      <c r="I51" s="189">
        <v>120</v>
      </c>
      <c r="J51" s="204">
        <v>99</v>
      </c>
      <c r="K51" s="205">
        <v>118</v>
      </c>
      <c r="L51" s="205">
        <v>118</v>
      </c>
      <c r="M51" s="205">
        <v>126</v>
      </c>
      <c r="N51" s="206">
        <v>114</v>
      </c>
      <c r="O51" s="210">
        <v>0</v>
      </c>
      <c r="P51" s="63" t="s">
        <v>144</v>
      </c>
      <c r="Q51" s="33"/>
      <c r="R51" s="33"/>
    </row>
    <row r="52" spans="1:18" ht="15" thickBot="1" x14ac:dyDescent="0.25">
      <c r="A52" s="66"/>
      <c r="B52" s="65"/>
      <c r="C52" s="64" t="s">
        <v>139</v>
      </c>
      <c r="D52" s="190">
        <v>168</v>
      </c>
      <c r="E52" s="191">
        <v>144</v>
      </c>
      <c r="F52" s="191">
        <v>143</v>
      </c>
      <c r="G52" s="191">
        <v>174</v>
      </c>
      <c r="H52" s="191">
        <v>129</v>
      </c>
      <c r="I52" s="75">
        <v>154</v>
      </c>
      <c r="J52" s="207">
        <v>182</v>
      </c>
      <c r="K52" s="208">
        <v>146</v>
      </c>
      <c r="L52" s="208">
        <v>149</v>
      </c>
      <c r="M52" s="208">
        <v>126</v>
      </c>
      <c r="N52" s="209">
        <v>137</v>
      </c>
      <c r="O52" s="211">
        <v>2</v>
      </c>
      <c r="P52" s="67"/>
      <c r="Q52" s="65"/>
      <c r="R52" s="65"/>
    </row>
  </sheetData>
  <mergeCells count="66">
    <mergeCell ref="R45:R52"/>
    <mergeCell ref="B47:B48"/>
    <mergeCell ref="P47:P48"/>
    <mergeCell ref="B49:B50"/>
    <mergeCell ref="P49:P50"/>
    <mergeCell ref="B51:B52"/>
    <mergeCell ref="P51:P52"/>
    <mergeCell ref="B43:B44"/>
    <mergeCell ref="P43:P44"/>
    <mergeCell ref="A45:A52"/>
    <mergeCell ref="B45:B46"/>
    <mergeCell ref="P45:P46"/>
    <mergeCell ref="Q45:Q52"/>
    <mergeCell ref="P35:P36"/>
    <mergeCell ref="A37:A44"/>
    <mergeCell ref="B37:B38"/>
    <mergeCell ref="P37:P38"/>
    <mergeCell ref="Q37:Q44"/>
    <mergeCell ref="R37:R44"/>
    <mergeCell ref="B39:B40"/>
    <mergeCell ref="P39:P40"/>
    <mergeCell ref="B41:B42"/>
    <mergeCell ref="P41:P42"/>
    <mergeCell ref="A29:A36"/>
    <mergeCell ref="B29:B30"/>
    <mergeCell ref="P29:P30"/>
    <mergeCell ref="Q29:Q36"/>
    <mergeCell ref="R29:R36"/>
    <mergeCell ref="B31:B32"/>
    <mergeCell ref="P31:P32"/>
    <mergeCell ref="B33:B34"/>
    <mergeCell ref="P33:P34"/>
    <mergeCell ref="B35:B36"/>
    <mergeCell ref="R21:R28"/>
    <mergeCell ref="B23:B24"/>
    <mergeCell ref="P23:P24"/>
    <mergeCell ref="B25:B26"/>
    <mergeCell ref="P25:P26"/>
    <mergeCell ref="B27:B28"/>
    <mergeCell ref="P27:P28"/>
    <mergeCell ref="B19:B20"/>
    <mergeCell ref="P19:P20"/>
    <mergeCell ref="A21:A28"/>
    <mergeCell ref="B21:B22"/>
    <mergeCell ref="P21:P22"/>
    <mergeCell ref="Q21:Q28"/>
    <mergeCell ref="P8:P9"/>
    <mergeCell ref="A13:A20"/>
    <mergeCell ref="B13:B14"/>
    <mergeCell ref="P13:P14"/>
    <mergeCell ref="Q13:Q20"/>
    <mergeCell ref="R13:R20"/>
    <mergeCell ref="B15:B16"/>
    <mergeCell ref="P15:P16"/>
    <mergeCell ref="B17:B18"/>
    <mergeCell ref="P17:P18"/>
    <mergeCell ref="A2:A9"/>
    <mergeCell ref="C2:C3"/>
    <mergeCell ref="P2:P3"/>
    <mergeCell ref="C4:C5"/>
    <mergeCell ref="P4:P5"/>
    <mergeCell ref="C6:C7"/>
    <mergeCell ref="P6:P7"/>
    <mergeCell ref="C8:C9"/>
    <mergeCell ref="J8:N9"/>
    <mergeCell ref="O8:O9"/>
  </mergeCells>
  <conditionalFormatting sqref="Q13:Q52">
    <cfRule type="cellIs" dxfId="2" priority="2" operator="greaterThan">
      <formula>250</formula>
    </cfRule>
    <cfRule type="cellIs" dxfId="1" priority="3" operator="lessThan">
      <formula>100</formula>
    </cfRule>
  </conditionalFormatting>
  <conditionalFormatting sqref="R13:R52">
    <cfRule type="cellIs" dxfId="0" priority="1" operator="greaterThan">
      <formula>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00AFA-D706-464C-9B0E-47E8341C81CA}">
  <dimension ref="A1:O74"/>
  <sheetViews>
    <sheetView workbookViewId="0">
      <selection activeCell="R30" sqref="R30"/>
    </sheetView>
  </sheetViews>
  <sheetFormatPr defaultRowHeight="14.25" x14ac:dyDescent="0.2"/>
  <cols>
    <col min="2" max="2" width="24.625" bestFit="1" customWidth="1"/>
  </cols>
  <sheetData>
    <row r="1" spans="1:15" ht="15.75" x14ac:dyDescent="0.25">
      <c r="A1" s="43"/>
      <c r="B1" s="43"/>
      <c r="C1" s="43"/>
      <c r="D1" s="98" t="s">
        <v>145</v>
      </c>
      <c r="E1" s="98"/>
      <c r="F1" s="69" t="s">
        <v>146</v>
      </c>
      <c r="G1" s="69"/>
      <c r="H1" s="76" t="s">
        <v>147</v>
      </c>
      <c r="I1" s="76"/>
      <c r="J1" s="98" t="s">
        <v>148</v>
      </c>
      <c r="K1" s="98"/>
      <c r="L1" s="69" t="s">
        <v>149</v>
      </c>
      <c r="M1" s="69"/>
      <c r="N1" s="76" t="s">
        <v>150</v>
      </c>
      <c r="O1" s="76"/>
    </row>
    <row r="2" spans="1:15" ht="16.5" thickBot="1" x14ac:dyDescent="0.3">
      <c r="A2" s="43"/>
      <c r="B2" s="44"/>
      <c r="C2" s="44"/>
      <c r="D2" s="99">
        <v>1</v>
      </c>
      <c r="E2" s="99">
        <v>2</v>
      </c>
      <c r="F2" s="70">
        <v>3</v>
      </c>
      <c r="G2" s="70">
        <v>4</v>
      </c>
      <c r="H2" s="77">
        <v>5</v>
      </c>
      <c r="I2" s="77">
        <v>6</v>
      </c>
      <c r="J2" s="99">
        <v>7</v>
      </c>
      <c r="K2" s="99">
        <v>8</v>
      </c>
      <c r="L2" s="70">
        <v>9</v>
      </c>
      <c r="M2" s="70">
        <v>10</v>
      </c>
      <c r="N2" s="77">
        <v>11</v>
      </c>
      <c r="O2" s="77">
        <v>12</v>
      </c>
    </row>
    <row r="3" spans="1:15" ht="15.75" x14ac:dyDescent="0.2">
      <c r="A3" s="46" t="s">
        <v>117</v>
      </c>
      <c r="B3" s="47" t="s">
        <v>118</v>
      </c>
      <c r="C3" s="71" t="s">
        <v>94</v>
      </c>
      <c r="D3" s="100"/>
      <c r="E3" s="101"/>
      <c r="F3" s="78"/>
      <c r="G3" s="79"/>
      <c r="H3" s="84"/>
      <c r="I3" s="85"/>
      <c r="J3" s="100"/>
      <c r="K3" s="101"/>
      <c r="L3" s="78"/>
      <c r="M3" s="79"/>
      <c r="N3" s="84"/>
      <c r="O3" s="85"/>
    </row>
    <row r="4" spans="1:15" ht="15.75" x14ac:dyDescent="0.2">
      <c r="A4" s="46"/>
      <c r="B4" s="47" t="s">
        <v>126</v>
      </c>
      <c r="C4" s="71" t="s">
        <v>120</v>
      </c>
      <c r="D4" s="102"/>
      <c r="E4" s="103"/>
      <c r="F4" s="80"/>
      <c r="G4" s="81"/>
      <c r="H4" s="86"/>
      <c r="I4" s="87"/>
      <c r="J4" s="102"/>
      <c r="K4" s="103"/>
      <c r="L4" s="80"/>
      <c r="M4" s="81"/>
      <c r="N4" s="86"/>
      <c r="O4" s="87"/>
    </row>
    <row r="5" spans="1:15" ht="15.75" x14ac:dyDescent="0.2">
      <c r="A5" s="46"/>
      <c r="B5" s="47" t="s">
        <v>127</v>
      </c>
      <c r="C5" s="71" t="s">
        <v>121</v>
      </c>
      <c r="D5" s="102"/>
      <c r="E5" s="103"/>
      <c r="F5" s="80"/>
      <c r="G5" s="81"/>
      <c r="H5" s="86"/>
      <c r="I5" s="87"/>
      <c r="J5" s="102"/>
      <c r="K5" s="103"/>
      <c r="L5" s="80"/>
      <c r="M5" s="81"/>
      <c r="N5" s="86"/>
      <c r="O5" s="87"/>
    </row>
    <row r="6" spans="1:15" ht="15.75" x14ac:dyDescent="0.2">
      <c r="A6" s="46"/>
      <c r="B6" s="47" t="s">
        <v>130</v>
      </c>
      <c r="C6" s="71" t="s">
        <v>122</v>
      </c>
      <c r="D6" s="102"/>
      <c r="E6" s="103"/>
      <c r="F6" s="80"/>
      <c r="G6" s="81"/>
      <c r="H6" s="86"/>
      <c r="I6" s="87"/>
      <c r="J6" s="102"/>
      <c r="K6" s="103"/>
      <c r="L6" s="80"/>
      <c r="M6" s="81"/>
      <c r="N6" s="86"/>
      <c r="O6" s="87"/>
    </row>
    <row r="7" spans="1:15" ht="15.75" x14ac:dyDescent="0.2">
      <c r="A7" s="46"/>
      <c r="B7" s="47" t="s">
        <v>131</v>
      </c>
      <c r="C7" s="71" t="s">
        <v>123</v>
      </c>
      <c r="D7" s="102"/>
      <c r="E7" s="103"/>
      <c r="F7" s="80"/>
      <c r="G7" s="81"/>
      <c r="H7" s="86"/>
      <c r="I7" s="87"/>
      <c r="J7" s="102"/>
      <c r="K7" s="103"/>
      <c r="L7" s="80"/>
      <c r="M7" s="81"/>
      <c r="N7" s="86"/>
      <c r="O7" s="87"/>
    </row>
    <row r="8" spans="1:15" ht="15.75" x14ac:dyDescent="0.2">
      <c r="A8" s="46"/>
      <c r="B8" s="47" t="s">
        <v>134</v>
      </c>
      <c r="C8" s="71" t="s">
        <v>124</v>
      </c>
      <c r="D8" s="102"/>
      <c r="E8" s="103"/>
      <c r="F8" s="80"/>
      <c r="G8" s="81"/>
      <c r="H8" s="86"/>
      <c r="I8" s="87"/>
      <c r="J8" s="102"/>
      <c r="K8" s="103"/>
      <c r="L8" s="80"/>
      <c r="M8" s="81"/>
      <c r="N8" s="86"/>
      <c r="O8" s="87"/>
    </row>
    <row r="9" spans="1:15" ht="16.5" thickBot="1" x14ac:dyDescent="0.25">
      <c r="A9" s="46"/>
      <c r="B9" s="47" t="s">
        <v>135</v>
      </c>
      <c r="C9" s="71" t="s">
        <v>151</v>
      </c>
      <c r="D9" s="104"/>
      <c r="E9" s="105"/>
      <c r="F9" s="82"/>
      <c r="G9" s="83"/>
      <c r="H9" s="88"/>
      <c r="I9" s="89"/>
      <c r="J9" s="104"/>
      <c r="K9" s="105"/>
      <c r="L9" s="82"/>
      <c r="M9" s="83"/>
      <c r="N9" s="88"/>
      <c r="O9" s="89"/>
    </row>
    <row r="10" spans="1:15" ht="16.5" thickBot="1" x14ac:dyDescent="0.25">
      <c r="A10" s="46"/>
      <c r="B10" s="47" t="s">
        <v>139</v>
      </c>
      <c r="C10" s="72" t="s">
        <v>152</v>
      </c>
      <c r="D10" s="92"/>
      <c r="E10" s="93"/>
      <c r="F10" s="93"/>
      <c r="G10" s="93"/>
      <c r="H10" s="93"/>
      <c r="I10" s="94"/>
      <c r="J10" s="95"/>
      <c r="K10" s="96"/>
      <c r="L10" s="96"/>
      <c r="M10" s="96"/>
      <c r="N10" s="96"/>
      <c r="O10" s="97"/>
    </row>
    <row r="11" spans="1:15" ht="15.75" x14ac:dyDescent="0.2">
      <c r="A11" s="48"/>
      <c r="B11" s="47"/>
      <c r="C11" s="49"/>
      <c r="D11" s="90" t="s">
        <v>63</v>
      </c>
      <c r="E11" s="90"/>
      <c r="F11" s="90"/>
      <c r="G11" s="90"/>
      <c r="H11" s="90"/>
      <c r="I11" s="90"/>
      <c r="J11" s="91" t="s">
        <v>62</v>
      </c>
      <c r="K11" s="91"/>
      <c r="L11" s="91"/>
      <c r="M11" s="91"/>
      <c r="N11" s="91"/>
      <c r="O11" s="91"/>
    </row>
    <row r="12" spans="1:15" ht="15.75" x14ac:dyDescent="0.2">
      <c r="A12" s="48"/>
      <c r="B12" s="47"/>
      <c r="C12" s="47"/>
      <c r="D12" s="47"/>
      <c r="E12" s="47"/>
      <c r="F12" s="49"/>
      <c r="G12" s="49"/>
      <c r="H12" s="49"/>
      <c r="I12" s="49"/>
      <c r="J12" s="49"/>
      <c r="K12" s="49"/>
      <c r="L12" s="49"/>
      <c r="M12" s="49"/>
      <c r="N12" s="49"/>
      <c r="O12" s="49"/>
    </row>
    <row r="13" spans="1:15" ht="18.75" x14ac:dyDescent="0.2">
      <c r="A13" s="107" t="s">
        <v>155</v>
      </c>
      <c r="B13" s="107"/>
      <c r="C13" s="107"/>
      <c r="D13" s="107"/>
      <c r="E13" s="107"/>
      <c r="F13" s="52">
        <v>20</v>
      </c>
      <c r="G13" s="52">
        <v>40</v>
      </c>
      <c r="H13" s="52">
        <v>80</v>
      </c>
      <c r="I13" s="53">
        <v>160</v>
      </c>
      <c r="J13" s="53">
        <v>320</v>
      </c>
      <c r="K13" s="53">
        <v>640</v>
      </c>
      <c r="L13" s="53">
        <v>1280</v>
      </c>
      <c r="M13" s="52" t="s">
        <v>152</v>
      </c>
      <c r="N13" s="45"/>
      <c r="O13" s="52"/>
    </row>
    <row r="14" spans="1:15" ht="32.25" thickBot="1" x14ac:dyDescent="0.25">
      <c r="A14" s="73" t="s">
        <v>58</v>
      </c>
      <c r="B14" s="73" t="s">
        <v>153</v>
      </c>
      <c r="C14" s="73" t="s">
        <v>32</v>
      </c>
      <c r="D14" s="73" t="s">
        <v>140</v>
      </c>
      <c r="E14" s="73" t="s">
        <v>154</v>
      </c>
      <c r="F14" s="74" t="s">
        <v>118</v>
      </c>
      <c r="G14" s="74" t="s">
        <v>126</v>
      </c>
      <c r="H14" s="74" t="s">
        <v>127</v>
      </c>
      <c r="I14" s="74" t="s">
        <v>130</v>
      </c>
      <c r="J14" s="74" t="s">
        <v>131</v>
      </c>
      <c r="K14" s="74" t="s">
        <v>134</v>
      </c>
      <c r="L14" s="74" t="s">
        <v>135</v>
      </c>
      <c r="M14" s="74" t="s">
        <v>139</v>
      </c>
      <c r="N14" s="74"/>
      <c r="O14" s="74"/>
    </row>
    <row r="15" spans="1:15" ht="15.75" x14ac:dyDescent="0.2">
      <c r="A15" s="60">
        <v>1</v>
      </c>
      <c r="B15" s="60" t="s">
        <v>2</v>
      </c>
      <c r="C15" s="147" t="s">
        <v>156</v>
      </c>
      <c r="D15" s="60">
        <v>1</v>
      </c>
      <c r="E15" s="61">
        <v>1</v>
      </c>
      <c r="F15" s="118">
        <v>21386</v>
      </c>
      <c r="G15" s="119">
        <v>19862</v>
      </c>
      <c r="H15" s="119">
        <v>43823</v>
      </c>
      <c r="I15" s="119">
        <v>135560</v>
      </c>
      <c r="J15" s="119">
        <v>264675</v>
      </c>
      <c r="K15" s="119">
        <v>305740</v>
      </c>
      <c r="L15" s="120">
        <v>313169</v>
      </c>
      <c r="M15" s="121">
        <v>228</v>
      </c>
      <c r="N15" s="148" t="s">
        <v>63</v>
      </c>
      <c r="O15" s="45"/>
    </row>
    <row r="16" spans="1:15" ht="16.5" thickBot="1" x14ac:dyDescent="0.25">
      <c r="A16" s="142"/>
      <c r="B16" s="142"/>
      <c r="C16" s="142"/>
      <c r="D16" s="142"/>
      <c r="E16" s="144">
        <v>2</v>
      </c>
      <c r="F16" s="122">
        <v>19656</v>
      </c>
      <c r="G16" s="123">
        <v>19390</v>
      </c>
      <c r="H16" s="123">
        <v>58428</v>
      </c>
      <c r="I16" s="123">
        <v>154622</v>
      </c>
      <c r="J16" s="123">
        <v>237429</v>
      </c>
      <c r="K16" s="123">
        <v>284397</v>
      </c>
      <c r="L16" s="124">
        <v>320568</v>
      </c>
      <c r="M16" s="125">
        <v>251</v>
      </c>
      <c r="N16" s="145"/>
      <c r="O16" s="45"/>
    </row>
    <row r="17" spans="1:15" ht="15.75" x14ac:dyDescent="0.2">
      <c r="A17" s="142"/>
      <c r="B17" s="142" t="s">
        <v>3</v>
      </c>
      <c r="C17" s="143" t="s">
        <v>156</v>
      </c>
      <c r="D17" s="142">
        <v>2</v>
      </c>
      <c r="E17" s="144">
        <v>3</v>
      </c>
      <c r="F17" s="126">
        <v>63055</v>
      </c>
      <c r="G17" s="127">
        <v>110035</v>
      </c>
      <c r="H17" s="127">
        <v>169729</v>
      </c>
      <c r="I17" s="127">
        <v>231199</v>
      </c>
      <c r="J17" s="127">
        <v>271108</v>
      </c>
      <c r="K17" s="127">
        <v>326519</v>
      </c>
      <c r="L17" s="128">
        <v>332450</v>
      </c>
      <c r="M17" s="125">
        <v>219</v>
      </c>
      <c r="N17" s="145"/>
      <c r="O17" s="45"/>
    </row>
    <row r="18" spans="1:15" ht="16.5" thickBot="1" x14ac:dyDescent="0.25">
      <c r="A18" s="142"/>
      <c r="B18" s="142"/>
      <c r="C18" s="142"/>
      <c r="D18" s="142"/>
      <c r="E18" s="144">
        <v>4</v>
      </c>
      <c r="F18" s="129">
        <v>50790</v>
      </c>
      <c r="G18" s="130">
        <v>99543</v>
      </c>
      <c r="H18" s="130">
        <v>196454</v>
      </c>
      <c r="I18" s="130">
        <v>252081</v>
      </c>
      <c r="J18" s="130">
        <v>302039</v>
      </c>
      <c r="K18" s="130">
        <v>263197</v>
      </c>
      <c r="L18" s="131">
        <v>243740</v>
      </c>
      <c r="M18" s="125">
        <v>262</v>
      </c>
      <c r="N18" s="145"/>
      <c r="O18" s="45"/>
    </row>
    <row r="19" spans="1:15" ht="15.75" x14ac:dyDescent="0.2">
      <c r="A19" s="142"/>
      <c r="B19" s="142" t="s">
        <v>4</v>
      </c>
      <c r="C19" s="143" t="s">
        <v>156</v>
      </c>
      <c r="D19" s="142">
        <v>3</v>
      </c>
      <c r="E19" s="144">
        <v>5</v>
      </c>
      <c r="F19" s="132">
        <v>14960</v>
      </c>
      <c r="G19" s="133">
        <v>20361</v>
      </c>
      <c r="H19" s="133">
        <v>46784</v>
      </c>
      <c r="I19" s="133">
        <v>21789</v>
      </c>
      <c r="J19" s="133">
        <v>61182</v>
      </c>
      <c r="K19" s="133">
        <v>202600</v>
      </c>
      <c r="L19" s="134">
        <v>220581</v>
      </c>
      <c r="M19" s="125">
        <v>199</v>
      </c>
      <c r="N19" s="145"/>
      <c r="O19" s="45"/>
    </row>
    <row r="20" spans="1:15" ht="16.5" thickBot="1" x14ac:dyDescent="0.25">
      <c r="A20" s="142"/>
      <c r="B20" s="142"/>
      <c r="C20" s="142"/>
      <c r="D20" s="142"/>
      <c r="E20" s="144">
        <v>6</v>
      </c>
      <c r="F20" s="135">
        <v>13929</v>
      </c>
      <c r="G20" s="136">
        <v>35156</v>
      </c>
      <c r="H20" s="136">
        <v>30789</v>
      </c>
      <c r="I20" s="136">
        <v>28700</v>
      </c>
      <c r="J20" s="136">
        <v>88711</v>
      </c>
      <c r="K20" s="136">
        <v>274841</v>
      </c>
      <c r="L20" s="137">
        <v>185895</v>
      </c>
      <c r="M20" s="138">
        <v>332</v>
      </c>
      <c r="N20" s="145"/>
      <c r="O20" s="45"/>
    </row>
    <row r="21" spans="1:15" ht="15.75" x14ac:dyDescent="0.2">
      <c r="A21" s="142"/>
      <c r="B21" s="142" t="s">
        <v>5</v>
      </c>
      <c r="C21" s="143" t="s">
        <v>156</v>
      </c>
      <c r="D21" s="142">
        <v>4</v>
      </c>
      <c r="E21" s="144">
        <v>7</v>
      </c>
      <c r="F21" s="118">
        <v>31436</v>
      </c>
      <c r="G21" s="119">
        <v>65777</v>
      </c>
      <c r="H21" s="119">
        <v>155303</v>
      </c>
      <c r="I21" s="119">
        <v>269069</v>
      </c>
      <c r="J21" s="119">
        <v>363088</v>
      </c>
      <c r="K21" s="119">
        <v>349418</v>
      </c>
      <c r="L21" s="120">
        <v>299938</v>
      </c>
      <c r="M21" s="139">
        <v>275749</v>
      </c>
      <c r="N21" s="145" t="s">
        <v>62</v>
      </c>
      <c r="O21" s="45"/>
    </row>
    <row r="22" spans="1:15" ht="16.5" thickBot="1" x14ac:dyDescent="0.25">
      <c r="A22" s="142"/>
      <c r="B22" s="142"/>
      <c r="C22" s="142"/>
      <c r="D22" s="142"/>
      <c r="E22" s="144">
        <v>8</v>
      </c>
      <c r="F22" s="122">
        <v>19855</v>
      </c>
      <c r="G22" s="123">
        <v>54843</v>
      </c>
      <c r="H22" s="123">
        <v>168627</v>
      </c>
      <c r="I22" s="123">
        <v>193481</v>
      </c>
      <c r="J22" s="123">
        <v>271751</v>
      </c>
      <c r="K22" s="123">
        <v>285542</v>
      </c>
      <c r="L22" s="124">
        <v>238532</v>
      </c>
      <c r="M22" s="140">
        <v>291352</v>
      </c>
      <c r="N22" s="145"/>
      <c r="O22" s="45"/>
    </row>
    <row r="23" spans="1:15" ht="15.75" x14ac:dyDescent="0.2">
      <c r="A23" s="142"/>
      <c r="B23" s="142" t="s">
        <v>6</v>
      </c>
      <c r="C23" s="143" t="s">
        <v>156</v>
      </c>
      <c r="D23" s="142">
        <v>5</v>
      </c>
      <c r="E23" s="144">
        <v>9</v>
      </c>
      <c r="F23" s="126">
        <v>46728</v>
      </c>
      <c r="G23" s="127">
        <v>43788</v>
      </c>
      <c r="H23" s="127">
        <v>105960</v>
      </c>
      <c r="I23" s="127">
        <v>222087</v>
      </c>
      <c r="J23" s="127">
        <v>261190</v>
      </c>
      <c r="K23" s="127">
        <v>230103</v>
      </c>
      <c r="L23" s="128">
        <v>310671</v>
      </c>
      <c r="M23" s="140">
        <v>305923</v>
      </c>
      <c r="N23" s="145"/>
      <c r="O23" s="45"/>
    </row>
    <row r="24" spans="1:15" ht="16.5" thickBot="1" x14ac:dyDescent="0.25">
      <c r="A24" s="142"/>
      <c r="B24" s="142"/>
      <c r="C24" s="142"/>
      <c r="D24" s="142"/>
      <c r="E24" s="144">
        <v>10</v>
      </c>
      <c r="F24" s="129">
        <v>18199</v>
      </c>
      <c r="G24" s="130">
        <v>39623</v>
      </c>
      <c r="H24" s="130">
        <v>107171</v>
      </c>
      <c r="I24" s="130">
        <v>197696</v>
      </c>
      <c r="J24" s="130">
        <v>343613</v>
      </c>
      <c r="K24" s="130">
        <v>312428</v>
      </c>
      <c r="L24" s="131">
        <v>315989</v>
      </c>
      <c r="M24" s="140">
        <v>424698</v>
      </c>
      <c r="N24" s="145"/>
      <c r="O24" s="45"/>
    </row>
    <row r="25" spans="1:15" ht="15.75" x14ac:dyDescent="0.2">
      <c r="A25" s="142"/>
      <c r="B25" s="142" t="s">
        <v>7</v>
      </c>
      <c r="C25" s="143" t="s">
        <v>156</v>
      </c>
      <c r="D25" s="142">
        <v>6</v>
      </c>
      <c r="E25" s="144">
        <v>11</v>
      </c>
      <c r="F25" s="132">
        <v>81574</v>
      </c>
      <c r="G25" s="133">
        <v>132702</v>
      </c>
      <c r="H25" s="133">
        <v>155203</v>
      </c>
      <c r="I25" s="133">
        <v>230324</v>
      </c>
      <c r="J25" s="133">
        <v>280398</v>
      </c>
      <c r="K25" s="133">
        <v>348410</v>
      </c>
      <c r="L25" s="134">
        <v>405019</v>
      </c>
      <c r="M25" s="140">
        <v>245125</v>
      </c>
      <c r="N25" s="145"/>
      <c r="O25" s="45"/>
    </row>
    <row r="26" spans="1:15" ht="16.5" thickBot="1" x14ac:dyDescent="0.25">
      <c r="A26" s="65"/>
      <c r="B26" s="65"/>
      <c r="C26" s="65"/>
      <c r="D26" s="65"/>
      <c r="E26" s="64">
        <v>12</v>
      </c>
      <c r="F26" s="135">
        <v>110062</v>
      </c>
      <c r="G26" s="136">
        <v>149085</v>
      </c>
      <c r="H26" s="136">
        <v>199171</v>
      </c>
      <c r="I26" s="136">
        <v>210887</v>
      </c>
      <c r="J26" s="136">
        <v>334184</v>
      </c>
      <c r="K26" s="136">
        <v>354255</v>
      </c>
      <c r="L26" s="137">
        <v>360031</v>
      </c>
      <c r="M26" s="141">
        <v>353093</v>
      </c>
      <c r="N26" s="146"/>
      <c r="O26" s="45"/>
    </row>
    <row r="27" spans="1:15" ht="15.75" customHeight="1" x14ac:dyDescent="0.2">
      <c r="A27" s="60">
        <v>2</v>
      </c>
      <c r="B27" s="60" t="s">
        <v>8</v>
      </c>
      <c r="C27" s="147" t="s">
        <v>156</v>
      </c>
      <c r="D27" s="60">
        <v>7</v>
      </c>
      <c r="E27" s="61">
        <v>1</v>
      </c>
      <c r="F27" s="118">
        <v>23735</v>
      </c>
      <c r="G27" s="119">
        <v>17644</v>
      </c>
      <c r="H27" s="119">
        <v>19349</v>
      </c>
      <c r="I27" s="119">
        <v>55636</v>
      </c>
      <c r="J27" s="119">
        <v>138256</v>
      </c>
      <c r="K27" s="119">
        <v>253035</v>
      </c>
      <c r="L27" s="120">
        <v>279658</v>
      </c>
      <c r="M27" s="121">
        <v>192</v>
      </c>
      <c r="N27" s="148" t="s">
        <v>63</v>
      </c>
      <c r="O27" s="45"/>
    </row>
    <row r="28" spans="1:15" ht="16.5" thickBot="1" x14ac:dyDescent="0.25">
      <c r="A28" s="142"/>
      <c r="B28" s="142"/>
      <c r="C28" s="142"/>
      <c r="D28" s="142"/>
      <c r="E28" s="144">
        <v>2</v>
      </c>
      <c r="F28" s="122">
        <v>55037</v>
      </c>
      <c r="G28" s="123">
        <v>53305</v>
      </c>
      <c r="H28" s="123">
        <v>44707</v>
      </c>
      <c r="I28" s="123">
        <v>70703</v>
      </c>
      <c r="J28" s="123">
        <v>127292</v>
      </c>
      <c r="K28" s="123">
        <v>232290</v>
      </c>
      <c r="L28" s="124">
        <v>233338</v>
      </c>
      <c r="M28" s="125">
        <v>173</v>
      </c>
      <c r="N28" s="145"/>
      <c r="O28" s="45"/>
    </row>
    <row r="29" spans="1:15" ht="15.75" x14ac:dyDescent="0.2">
      <c r="A29" s="142"/>
      <c r="B29" s="142" t="s">
        <v>9</v>
      </c>
      <c r="C29" s="143" t="s">
        <v>156</v>
      </c>
      <c r="D29" s="142">
        <v>8</v>
      </c>
      <c r="E29" s="144">
        <v>3</v>
      </c>
      <c r="F29" s="126">
        <v>158188</v>
      </c>
      <c r="G29" s="127">
        <v>176462</v>
      </c>
      <c r="H29" s="127">
        <v>255772</v>
      </c>
      <c r="I29" s="127">
        <v>265956</v>
      </c>
      <c r="J29" s="127">
        <v>249222</v>
      </c>
      <c r="K29" s="127">
        <v>317567</v>
      </c>
      <c r="L29" s="128">
        <v>237023</v>
      </c>
      <c r="M29" s="125">
        <v>157</v>
      </c>
      <c r="N29" s="145"/>
      <c r="O29" s="45"/>
    </row>
    <row r="30" spans="1:15" ht="16.5" thickBot="1" x14ac:dyDescent="0.25">
      <c r="A30" s="142"/>
      <c r="B30" s="142"/>
      <c r="C30" s="142"/>
      <c r="D30" s="142"/>
      <c r="E30" s="144">
        <v>4</v>
      </c>
      <c r="F30" s="129">
        <v>123287</v>
      </c>
      <c r="G30" s="130">
        <v>183178</v>
      </c>
      <c r="H30" s="130">
        <v>275158</v>
      </c>
      <c r="I30" s="130">
        <v>246316</v>
      </c>
      <c r="J30" s="130">
        <v>242567</v>
      </c>
      <c r="K30" s="130">
        <v>263967</v>
      </c>
      <c r="L30" s="131">
        <v>239497</v>
      </c>
      <c r="M30" s="125">
        <v>194</v>
      </c>
      <c r="N30" s="145"/>
      <c r="O30" s="45"/>
    </row>
    <row r="31" spans="1:15" ht="15.75" x14ac:dyDescent="0.2">
      <c r="A31" s="142"/>
      <c r="B31" s="142" t="s">
        <v>10</v>
      </c>
      <c r="C31" s="143" t="s">
        <v>156</v>
      </c>
      <c r="D31" s="142">
        <v>9</v>
      </c>
      <c r="E31" s="144">
        <v>5</v>
      </c>
      <c r="F31" s="132">
        <v>14740</v>
      </c>
      <c r="G31" s="133">
        <v>12735</v>
      </c>
      <c r="H31" s="133">
        <v>19273</v>
      </c>
      <c r="I31" s="133">
        <v>17504</v>
      </c>
      <c r="J31" s="133">
        <v>35324</v>
      </c>
      <c r="K31" s="133">
        <v>70491</v>
      </c>
      <c r="L31" s="134">
        <v>140851</v>
      </c>
      <c r="M31" s="125">
        <v>141</v>
      </c>
      <c r="N31" s="145"/>
      <c r="O31" s="45"/>
    </row>
    <row r="32" spans="1:15" ht="16.5" thickBot="1" x14ac:dyDescent="0.25">
      <c r="A32" s="142"/>
      <c r="B32" s="142"/>
      <c r="C32" s="142"/>
      <c r="D32" s="142"/>
      <c r="E32" s="144">
        <v>6</v>
      </c>
      <c r="F32" s="135">
        <v>43016</v>
      </c>
      <c r="G32" s="136">
        <v>12942</v>
      </c>
      <c r="H32" s="136">
        <v>16148</v>
      </c>
      <c r="I32" s="136">
        <v>29345</v>
      </c>
      <c r="J32" s="136">
        <v>36194</v>
      </c>
      <c r="K32" s="136">
        <v>102021</v>
      </c>
      <c r="L32" s="137">
        <v>175409</v>
      </c>
      <c r="M32" s="138">
        <v>206</v>
      </c>
      <c r="N32" s="145"/>
      <c r="O32" s="45"/>
    </row>
    <row r="33" spans="1:15" ht="15.75" customHeight="1" x14ac:dyDescent="0.2">
      <c r="A33" s="142"/>
      <c r="B33" s="142" t="s">
        <v>11</v>
      </c>
      <c r="C33" s="143" t="s">
        <v>156</v>
      </c>
      <c r="D33" s="142">
        <v>10</v>
      </c>
      <c r="E33" s="144">
        <v>7</v>
      </c>
      <c r="F33" s="118">
        <v>18037</v>
      </c>
      <c r="G33" s="119">
        <v>27758</v>
      </c>
      <c r="H33" s="119">
        <v>60531</v>
      </c>
      <c r="I33" s="119">
        <v>142559</v>
      </c>
      <c r="J33" s="119">
        <v>192177</v>
      </c>
      <c r="K33" s="119">
        <v>237026</v>
      </c>
      <c r="L33" s="120">
        <v>228871</v>
      </c>
      <c r="M33" s="139">
        <v>212920</v>
      </c>
      <c r="N33" s="145" t="s">
        <v>62</v>
      </c>
      <c r="O33" s="45"/>
    </row>
    <row r="34" spans="1:15" ht="16.5" thickBot="1" x14ac:dyDescent="0.25">
      <c r="A34" s="142"/>
      <c r="B34" s="142"/>
      <c r="C34" s="142"/>
      <c r="D34" s="142"/>
      <c r="E34" s="144">
        <v>8</v>
      </c>
      <c r="F34" s="122">
        <v>23003</v>
      </c>
      <c r="G34" s="123">
        <v>35857</v>
      </c>
      <c r="H34" s="123">
        <v>64245</v>
      </c>
      <c r="I34" s="123">
        <v>139867</v>
      </c>
      <c r="J34" s="123">
        <v>191938</v>
      </c>
      <c r="K34" s="123">
        <v>223422</v>
      </c>
      <c r="L34" s="124">
        <v>195310</v>
      </c>
      <c r="M34" s="140">
        <v>227489</v>
      </c>
      <c r="N34" s="145"/>
      <c r="O34" s="45"/>
    </row>
    <row r="35" spans="1:15" ht="15.75" x14ac:dyDescent="0.2">
      <c r="A35" s="142"/>
      <c r="B35" s="142" t="s">
        <v>12</v>
      </c>
      <c r="C35" s="143" t="s">
        <v>156</v>
      </c>
      <c r="D35" s="142">
        <v>11</v>
      </c>
      <c r="E35" s="144">
        <v>9</v>
      </c>
      <c r="F35" s="126">
        <v>103960</v>
      </c>
      <c r="G35" s="127">
        <v>102338</v>
      </c>
      <c r="H35" s="127">
        <v>140645</v>
      </c>
      <c r="I35" s="127">
        <v>236832</v>
      </c>
      <c r="J35" s="127">
        <v>251237</v>
      </c>
      <c r="K35" s="127">
        <v>238221</v>
      </c>
      <c r="L35" s="128">
        <v>223987</v>
      </c>
      <c r="M35" s="140">
        <v>230235</v>
      </c>
      <c r="N35" s="145"/>
      <c r="O35" s="45"/>
    </row>
    <row r="36" spans="1:15" ht="16.5" thickBot="1" x14ac:dyDescent="0.25">
      <c r="A36" s="142"/>
      <c r="B36" s="142"/>
      <c r="C36" s="142"/>
      <c r="D36" s="142"/>
      <c r="E36" s="144">
        <v>10</v>
      </c>
      <c r="F36" s="129">
        <v>75795</v>
      </c>
      <c r="G36" s="130">
        <v>146293</v>
      </c>
      <c r="H36" s="130">
        <v>268621</v>
      </c>
      <c r="I36" s="130">
        <v>263555</v>
      </c>
      <c r="J36" s="130">
        <v>307287</v>
      </c>
      <c r="K36" s="130">
        <v>319586</v>
      </c>
      <c r="L36" s="131">
        <v>238344</v>
      </c>
      <c r="M36" s="140">
        <v>261008</v>
      </c>
      <c r="N36" s="145"/>
      <c r="O36" s="45"/>
    </row>
    <row r="37" spans="1:15" ht="15.75" x14ac:dyDescent="0.2">
      <c r="A37" s="142"/>
      <c r="B37" s="142" t="s">
        <v>13</v>
      </c>
      <c r="C37" s="143" t="s">
        <v>156</v>
      </c>
      <c r="D37" s="142">
        <v>12</v>
      </c>
      <c r="E37" s="144">
        <v>11</v>
      </c>
      <c r="F37" s="132">
        <v>28264</v>
      </c>
      <c r="G37" s="133">
        <v>101278</v>
      </c>
      <c r="H37" s="133">
        <v>102023</v>
      </c>
      <c r="I37" s="133">
        <v>138248</v>
      </c>
      <c r="J37" s="133">
        <v>184606</v>
      </c>
      <c r="K37" s="133">
        <v>224997</v>
      </c>
      <c r="L37" s="134">
        <v>310064</v>
      </c>
      <c r="M37" s="140">
        <v>301025</v>
      </c>
      <c r="N37" s="145"/>
      <c r="O37" s="45"/>
    </row>
    <row r="38" spans="1:15" ht="16.5" thickBot="1" x14ac:dyDescent="0.25">
      <c r="A38" s="65"/>
      <c r="B38" s="65"/>
      <c r="C38" s="65"/>
      <c r="D38" s="65"/>
      <c r="E38" s="64">
        <v>12</v>
      </c>
      <c r="F38" s="135">
        <v>56554</v>
      </c>
      <c r="G38" s="136">
        <v>82182</v>
      </c>
      <c r="H38" s="136">
        <v>147770</v>
      </c>
      <c r="I38" s="136">
        <v>152919</v>
      </c>
      <c r="J38" s="136">
        <v>266063</v>
      </c>
      <c r="K38" s="136">
        <v>262082</v>
      </c>
      <c r="L38" s="137">
        <v>259325</v>
      </c>
      <c r="M38" s="141">
        <v>342549</v>
      </c>
      <c r="N38" s="146"/>
      <c r="O38" s="45"/>
    </row>
    <row r="39" spans="1:15" ht="15.75" customHeight="1" x14ac:dyDescent="0.2">
      <c r="A39" s="60">
        <v>3</v>
      </c>
      <c r="B39" s="60" t="s">
        <v>14</v>
      </c>
      <c r="C39" s="147" t="s">
        <v>156</v>
      </c>
      <c r="D39" s="60">
        <v>13</v>
      </c>
      <c r="E39" s="61">
        <v>1</v>
      </c>
      <c r="F39" s="118">
        <v>19304</v>
      </c>
      <c r="G39" s="119">
        <v>19514</v>
      </c>
      <c r="H39" s="119">
        <v>16513</v>
      </c>
      <c r="I39" s="119">
        <v>17857</v>
      </c>
      <c r="J39" s="119">
        <v>63327</v>
      </c>
      <c r="K39" s="119">
        <v>178791</v>
      </c>
      <c r="L39" s="120">
        <v>256462</v>
      </c>
      <c r="M39" s="121">
        <v>153</v>
      </c>
      <c r="N39" s="148" t="s">
        <v>63</v>
      </c>
      <c r="O39" s="45"/>
    </row>
    <row r="40" spans="1:15" ht="16.5" thickBot="1" x14ac:dyDescent="0.25">
      <c r="A40" s="142"/>
      <c r="B40" s="142"/>
      <c r="C40" s="142"/>
      <c r="D40" s="142"/>
      <c r="E40" s="144">
        <v>2</v>
      </c>
      <c r="F40" s="122">
        <v>29040</v>
      </c>
      <c r="G40" s="123">
        <v>12835</v>
      </c>
      <c r="H40" s="123">
        <v>19431</v>
      </c>
      <c r="I40" s="123">
        <v>15139</v>
      </c>
      <c r="J40" s="123">
        <v>54259</v>
      </c>
      <c r="K40" s="123">
        <v>191147</v>
      </c>
      <c r="L40" s="124">
        <v>201806</v>
      </c>
      <c r="M40" s="125">
        <v>141</v>
      </c>
      <c r="N40" s="145"/>
      <c r="O40" s="45"/>
    </row>
    <row r="41" spans="1:15" ht="15.75" x14ac:dyDescent="0.2">
      <c r="A41" s="142"/>
      <c r="B41" s="142" t="s">
        <v>15</v>
      </c>
      <c r="C41" s="143" t="s">
        <v>156</v>
      </c>
      <c r="D41" s="142">
        <v>14</v>
      </c>
      <c r="E41" s="144">
        <v>3</v>
      </c>
      <c r="F41" s="126">
        <v>126670</v>
      </c>
      <c r="G41" s="127">
        <v>188336</v>
      </c>
      <c r="H41" s="127">
        <v>195655</v>
      </c>
      <c r="I41" s="127">
        <v>225963</v>
      </c>
      <c r="J41" s="127">
        <v>232772</v>
      </c>
      <c r="K41" s="127">
        <v>258231</v>
      </c>
      <c r="L41" s="128">
        <v>239343</v>
      </c>
      <c r="M41" s="125">
        <v>157</v>
      </c>
      <c r="N41" s="145"/>
      <c r="O41" s="45"/>
    </row>
    <row r="42" spans="1:15" ht="16.5" thickBot="1" x14ac:dyDescent="0.25">
      <c r="A42" s="142"/>
      <c r="B42" s="142"/>
      <c r="C42" s="142"/>
      <c r="D42" s="142"/>
      <c r="E42" s="144">
        <v>4</v>
      </c>
      <c r="F42" s="129">
        <v>144397</v>
      </c>
      <c r="G42" s="130">
        <v>152558</v>
      </c>
      <c r="H42" s="130">
        <v>244874</v>
      </c>
      <c r="I42" s="130">
        <v>294897</v>
      </c>
      <c r="J42" s="130">
        <v>222134</v>
      </c>
      <c r="K42" s="130">
        <v>257430</v>
      </c>
      <c r="L42" s="131">
        <v>233963</v>
      </c>
      <c r="M42" s="125">
        <v>155</v>
      </c>
      <c r="N42" s="145"/>
      <c r="O42" s="45"/>
    </row>
    <row r="43" spans="1:15" ht="15.75" x14ac:dyDescent="0.2">
      <c r="A43" s="142"/>
      <c r="B43" s="142" t="s">
        <v>16</v>
      </c>
      <c r="C43" s="143" t="s">
        <v>156</v>
      </c>
      <c r="D43" s="142">
        <v>15</v>
      </c>
      <c r="E43" s="144">
        <v>5</v>
      </c>
      <c r="F43" s="132">
        <v>19132</v>
      </c>
      <c r="G43" s="133">
        <v>18644</v>
      </c>
      <c r="H43" s="133">
        <v>25642</v>
      </c>
      <c r="I43" s="133">
        <v>31308</v>
      </c>
      <c r="J43" s="133">
        <v>74002</v>
      </c>
      <c r="K43" s="133">
        <v>153925</v>
      </c>
      <c r="L43" s="134">
        <v>157409</v>
      </c>
      <c r="M43" s="125">
        <v>114</v>
      </c>
      <c r="N43" s="145"/>
      <c r="O43" s="45"/>
    </row>
    <row r="44" spans="1:15" ht="16.5" thickBot="1" x14ac:dyDescent="0.25">
      <c r="A44" s="142"/>
      <c r="B44" s="142"/>
      <c r="C44" s="142"/>
      <c r="D44" s="142"/>
      <c r="E44" s="144">
        <v>6</v>
      </c>
      <c r="F44" s="135">
        <v>28232</v>
      </c>
      <c r="G44" s="136">
        <v>27052</v>
      </c>
      <c r="H44" s="136">
        <v>26760</v>
      </c>
      <c r="I44" s="136">
        <v>36248</v>
      </c>
      <c r="J44" s="136">
        <v>66524</v>
      </c>
      <c r="K44" s="136">
        <v>158282</v>
      </c>
      <c r="L44" s="137">
        <v>166682</v>
      </c>
      <c r="M44" s="138">
        <v>220</v>
      </c>
      <c r="N44" s="145"/>
      <c r="O44" s="45"/>
    </row>
    <row r="45" spans="1:15" ht="15.75" customHeight="1" x14ac:dyDescent="0.2">
      <c r="A45" s="142"/>
      <c r="B45" s="142" t="s">
        <v>17</v>
      </c>
      <c r="C45" s="143" t="s">
        <v>156</v>
      </c>
      <c r="D45" s="142">
        <v>16</v>
      </c>
      <c r="E45" s="144">
        <v>7</v>
      </c>
      <c r="F45" s="118">
        <v>18684</v>
      </c>
      <c r="G45" s="119">
        <v>21635</v>
      </c>
      <c r="H45" s="119">
        <v>52808</v>
      </c>
      <c r="I45" s="119">
        <v>165551</v>
      </c>
      <c r="J45" s="119">
        <v>249874</v>
      </c>
      <c r="K45" s="119">
        <v>273883</v>
      </c>
      <c r="L45" s="120">
        <v>234615</v>
      </c>
      <c r="M45" s="139">
        <v>268586</v>
      </c>
      <c r="N45" s="145" t="s">
        <v>62</v>
      </c>
      <c r="O45" s="45"/>
    </row>
    <row r="46" spans="1:15" ht="16.5" thickBot="1" x14ac:dyDescent="0.25">
      <c r="A46" s="142"/>
      <c r="B46" s="142"/>
      <c r="C46" s="142"/>
      <c r="D46" s="142"/>
      <c r="E46" s="144">
        <v>8</v>
      </c>
      <c r="F46" s="122">
        <v>18881</v>
      </c>
      <c r="G46" s="123">
        <v>24746</v>
      </c>
      <c r="H46" s="123">
        <v>59271</v>
      </c>
      <c r="I46" s="123">
        <v>117253</v>
      </c>
      <c r="J46" s="123">
        <v>226340</v>
      </c>
      <c r="K46" s="123">
        <v>245798</v>
      </c>
      <c r="L46" s="124">
        <v>201234</v>
      </c>
      <c r="M46" s="140">
        <v>220005</v>
      </c>
      <c r="N46" s="145"/>
      <c r="O46" s="45"/>
    </row>
    <row r="47" spans="1:15" ht="15.75" x14ac:dyDescent="0.2">
      <c r="A47" s="142"/>
      <c r="B47" s="142" t="s">
        <v>18</v>
      </c>
      <c r="C47" s="143" t="s">
        <v>156</v>
      </c>
      <c r="D47" s="142">
        <v>17</v>
      </c>
      <c r="E47" s="144">
        <v>9</v>
      </c>
      <c r="F47" s="126">
        <v>14545</v>
      </c>
      <c r="G47" s="127">
        <v>17423</v>
      </c>
      <c r="H47" s="127">
        <v>14970</v>
      </c>
      <c r="I47" s="127">
        <v>52765</v>
      </c>
      <c r="J47" s="127">
        <v>134561</v>
      </c>
      <c r="K47" s="127">
        <v>203862</v>
      </c>
      <c r="L47" s="128">
        <v>275704</v>
      </c>
      <c r="M47" s="140">
        <v>226615</v>
      </c>
      <c r="N47" s="145"/>
      <c r="O47" s="45"/>
    </row>
    <row r="48" spans="1:15" ht="16.5" thickBot="1" x14ac:dyDescent="0.25">
      <c r="A48" s="142"/>
      <c r="B48" s="142"/>
      <c r="C48" s="142"/>
      <c r="D48" s="142"/>
      <c r="E48" s="144">
        <v>10</v>
      </c>
      <c r="F48" s="129">
        <v>34930</v>
      </c>
      <c r="G48" s="130">
        <v>20539</v>
      </c>
      <c r="H48" s="130">
        <v>39642</v>
      </c>
      <c r="I48" s="130">
        <v>48306</v>
      </c>
      <c r="J48" s="130">
        <v>135381</v>
      </c>
      <c r="K48" s="130">
        <v>212504</v>
      </c>
      <c r="L48" s="131">
        <v>188874</v>
      </c>
      <c r="M48" s="140">
        <v>230955</v>
      </c>
      <c r="N48" s="145"/>
      <c r="O48" s="45"/>
    </row>
    <row r="49" spans="1:15" ht="15.75" x14ac:dyDescent="0.2">
      <c r="A49" s="142"/>
      <c r="B49" s="142" t="s">
        <v>19</v>
      </c>
      <c r="C49" s="143" t="s">
        <v>156</v>
      </c>
      <c r="D49" s="142">
        <v>18</v>
      </c>
      <c r="E49" s="144">
        <v>11</v>
      </c>
      <c r="F49" s="132">
        <v>20753</v>
      </c>
      <c r="G49" s="133">
        <v>38413</v>
      </c>
      <c r="H49" s="133">
        <v>32129</v>
      </c>
      <c r="I49" s="133">
        <v>38509</v>
      </c>
      <c r="J49" s="133">
        <v>24553</v>
      </c>
      <c r="K49" s="133">
        <v>69510</v>
      </c>
      <c r="L49" s="134">
        <v>197123</v>
      </c>
      <c r="M49" s="140">
        <v>216487</v>
      </c>
      <c r="N49" s="145"/>
      <c r="O49" s="45"/>
    </row>
    <row r="50" spans="1:15" ht="16.5" thickBot="1" x14ac:dyDescent="0.25">
      <c r="A50" s="65"/>
      <c r="B50" s="65"/>
      <c r="C50" s="65"/>
      <c r="D50" s="65"/>
      <c r="E50" s="64">
        <v>12</v>
      </c>
      <c r="F50" s="135">
        <v>21641</v>
      </c>
      <c r="G50" s="136">
        <v>21084</v>
      </c>
      <c r="H50" s="136">
        <v>14811</v>
      </c>
      <c r="I50" s="136">
        <v>20066</v>
      </c>
      <c r="J50" s="136">
        <v>38963</v>
      </c>
      <c r="K50" s="136">
        <v>102735</v>
      </c>
      <c r="L50" s="137">
        <v>179012</v>
      </c>
      <c r="M50" s="141">
        <v>318196</v>
      </c>
      <c r="N50" s="146"/>
      <c r="O50" s="45"/>
    </row>
    <row r="51" spans="1:15" ht="15.75" customHeight="1" x14ac:dyDescent="0.2">
      <c r="A51" s="60">
        <v>4</v>
      </c>
      <c r="B51" s="60" t="s">
        <v>20</v>
      </c>
      <c r="C51" s="147" t="s">
        <v>156</v>
      </c>
      <c r="D51" s="60">
        <v>19</v>
      </c>
      <c r="E51" s="61">
        <v>1</v>
      </c>
      <c r="F51" s="118">
        <v>18377</v>
      </c>
      <c r="G51" s="119">
        <v>16165</v>
      </c>
      <c r="H51" s="119">
        <v>17517</v>
      </c>
      <c r="I51" s="119">
        <v>35634</v>
      </c>
      <c r="J51" s="119">
        <v>77080</v>
      </c>
      <c r="K51" s="119">
        <v>150637</v>
      </c>
      <c r="L51" s="120">
        <v>236091</v>
      </c>
      <c r="M51" s="121">
        <v>165</v>
      </c>
      <c r="N51" s="148" t="s">
        <v>63</v>
      </c>
      <c r="O51" s="45"/>
    </row>
    <row r="52" spans="1:15" ht="16.5" thickBot="1" x14ac:dyDescent="0.25">
      <c r="A52" s="142"/>
      <c r="B52" s="142"/>
      <c r="C52" s="142"/>
      <c r="D52" s="142"/>
      <c r="E52" s="144">
        <v>2</v>
      </c>
      <c r="F52" s="122">
        <v>36889</v>
      </c>
      <c r="G52" s="123">
        <v>17715</v>
      </c>
      <c r="H52" s="123">
        <v>11803</v>
      </c>
      <c r="I52" s="123">
        <v>14159</v>
      </c>
      <c r="J52" s="123">
        <v>65768</v>
      </c>
      <c r="K52" s="123">
        <v>167228</v>
      </c>
      <c r="L52" s="124">
        <v>211327</v>
      </c>
      <c r="M52" s="125">
        <v>136</v>
      </c>
      <c r="N52" s="145"/>
      <c r="O52" s="45"/>
    </row>
    <row r="53" spans="1:15" ht="15.75" x14ac:dyDescent="0.2">
      <c r="A53" s="142"/>
      <c r="B53" s="142" t="s">
        <v>21</v>
      </c>
      <c r="C53" s="143" t="s">
        <v>156</v>
      </c>
      <c r="D53" s="142">
        <v>20</v>
      </c>
      <c r="E53" s="144">
        <v>3</v>
      </c>
      <c r="F53" s="126">
        <v>16263</v>
      </c>
      <c r="G53" s="127">
        <v>24880</v>
      </c>
      <c r="H53" s="127">
        <v>46133</v>
      </c>
      <c r="I53" s="127">
        <v>54640</v>
      </c>
      <c r="J53" s="127">
        <v>114024</v>
      </c>
      <c r="K53" s="127">
        <v>199397</v>
      </c>
      <c r="L53" s="128">
        <v>194010</v>
      </c>
      <c r="M53" s="125">
        <v>125</v>
      </c>
      <c r="N53" s="145"/>
      <c r="O53" s="45"/>
    </row>
    <row r="54" spans="1:15" ht="16.5" thickBot="1" x14ac:dyDescent="0.25">
      <c r="A54" s="142"/>
      <c r="B54" s="142"/>
      <c r="C54" s="142"/>
      <c r="D54" s="142"/>
      <c r="E54" s="144">
        <v>4</v>
      </c>
      <c r="F54" s="129">
        <v>17066</v>
      </c>
      <c r="G54" s="130">
        <v>17515</v>
      </c>
      <c r="H54" s="130">
        <v>17055</v>
      </c>
      <c r="I54" s="130">
        <v>40594</v>
      </c>
      <c r="J54" s="130">
        <v>126639</v>
      </c>
      <c r="K54" s="130">
        <v>197736</v>
      </c>
      <c r="L54" s="131">
        <v>178653</v>
      </c>
      <c r="M54" s="125">
        <v>137</v>
      </c>
      <c r="N54" s="145"/>
      <c r="O54" s="45"/>
    </row>
    <row r="55" spans="1:15" ht="15.75" x14ac:dyDescent="0.2">
      <c r="A55" s="142"/>
      <c r="B55" s="142" t="s">
        <v>22</v>
      </c>
      <c r="C55" s="143" t="s">
        <v>156</v>
      </c>
      <c r="D55" s="142">
        <v>21</v>
      </c>
      <c r="E55" s="144">
        <v>5</v>
      </c>
      <c r="F55" s="132">
        <v>15757</v>
      </c>
      <c r="G55" s="133">
        <v>15674</v>
      </c>
      <c r="H55" s="133">
        <v>28555</v>
      </c>
      <c r="I55" s="133">
        <v>80097</v>
      </c>
      <c r="J55" s="133">
        <v>184582</v>
      </c>
      <c r="K55" s="133">
        <v>259095</v>
      </c>
      <c r="L55" s="134">
        <v>185298</v>
      </c>
      <c r="M55" s="125">
        <v>127</v>
      </c>
      <c r="N55" s="145"/>
      <c r="O55" s="45"/>
    </row>
    <row r="56" spans="1:15" ht="16.5" thickBot="1" x14ac:dyDescent="0.25">
      <c r="A56" s="142"/>
      <c r="B56" s="142"/>
      <c r="C56" s="142"/>
      <c r="D56" s="142"/>
      <c r="E56" s="144">
        <v>6</v>
      </c>
      <c r="F56" s="135">
        <v>18279</v>
      </c>
      <c r="G56" s="136">
        <v>16205</v>
      </c>
      <c r="H56" s="136">
        <v>21094</v>
      </c>
      <c r="I56" s="136">
        <v>105813</v>
      </c>
      <c r="J56" s="136">
        <v>272507</v>
      </c>
      <c r="K56" s="136">
        <v>299942</v>
      </c>
      <c r="L56" s="137">
        <v>196502</v>
      </c>
      <c r="M56" s="138">
        <v>224</v>
      </c>
      <c r="N56" s="145"/>
      <c r="O56" s="45"/>
    </row>
    <row r="57" spans="1:15" ht="15.75" customHeight="1" x14ac:dyDescent="0.2">
      <c r="A57" s="142"/>
      <c r="B57" s="142" t="s">
        <v>23</v>
      </c>
      <c r="C57" s="143" t="s">
        <v>156</v>
      </c>
      <c r="D57" s="142">
        <v>22</v>
      </c>
      <c r="E57" s="144">
        <v>7</v>
      </c>
      <c r="F57" s="118">
        <v>17442</v>
      </c>
      <c r="G57" s="119">
        <v>16247</v>
      </c>
      <c r="H57" s="119">
        <v>40439</v>
      </c>
      <c r="I57" s="119">
        <v>117735</v>
      </c>
      <c r="J57" s="119">
        <v>236565</v>
      </c>
      <c r="K57" s="119">
        <v>223895</v>
      </c>
      <c r="L57" s="120">
        <v>176035</v>
      </c>
      <c r="M57" s="139">
        <v>236062</v>
      </c>
      <c r="N57" s="145" t="s">
        <v>62</v>
      </c>
      <c r="O57" s="45"/>
    </row>
    <row r="58" spans="1:15" ht="16.5" thickBot="1" x14ac:dyDescent="0.25">
      <c r="A58" s="142"/>
      <c r="B58" s="142"/>
      <c r="C58" s="142"/>
      <c r="D58" s="142"/>
      <c r="E58" s="144">
        <v>8</v>
      </c>
      <c r="F58" s="122">
        <v>18529</v>
      </c>
      <c r="G58" s="123">
        <v>17786</v>
      </c>
      <c r="H58" s="123">
        <v>25366</v>
      </c>
      <c r="I58" s="123">
        <v>108128</v>
      </c>
      <c r="J58" s="123">
        <v>183071</v>
      </c>
      <c r="K58" s="123">
        <v>236127</v>
      </c>
      <c r="L58" s="124">
        <v>179156</v>
      </c>
      <c r="M58" s="140">
        <v>240225</v>
      </c>
      <c r="N58" s="145"/>
      <c r="O58" s="45"/>
    </row>
    <row r="59" spans="1:15" ht="15.75" x14ac:dyDescent="0.2">
      <c r="A59" s="142"/>
      <c r="B59" s="142" t="s">
        <v>24</v>
      </c>
      <c r="C59" s="143" t="s">
        <v>156</v>
      </c>
      <c r="D59" s="142">
        <v>23</v>
      </c>
      <c r="E59" s="144">
        <v>9</v>
      </c>
      <c r="F59" s="126">
        <v>17917</v>
      </c>
      <c r="G59" s="127">
        <v>22473</v>
      </c>
      <c r="H59" s="127">
        <v>18361</v>
      </c>
      <c r="I59" s="127">
        <v>15324</v>
      </c>
      <c r="J59" s="127">
        <v>59455</v>
      </c>
      <c r="K59" s="127">
        <v>156851</v>
      </c>
      <c r="L59" s="128">
        <v>225078</v>
      </c>
      <c r="M59" s="140">
        <v>200057</v>
      </c>
      <c r="N59" s="145"/>
      <c r="O59" s="45"/>
    </row>
    <row r="60" spans="1:15" ht="16.5" thickBot="1" x14ac:dyDescent="0.25">
      <c r="A60" s="142"/>
      <c r="B60" s="142"/>
      <c r="C60" s="142"/>
      <c r="D60" s="142"/>
      <c r="E60" s="144">
        <v>10</v>
      </c>
      <c r="F60" s="129">
        <v>18728</v>
      </c>
      <c r="G60" s="130">
        <v>25768</v>
      </c>
      <c r="H60" s="130">
        <v>22457</v>
      </c>
      <c r="I60" s="130">
        <v>13299</v>
      </c>
      <c r="J60" s="130">
        <v>42371</v>
      </c>
      <c r="K60" s="130">
        <v>119879</v>
      </c>
      <c r="L60" s="131">
        <v>187987</v>
      </c>
      <c r="M60" s="140">
        <v>252958</v>
      </c>
      <c r="N60" s="145"/>
      <c r="O60" s="45"/>
    </row>
    <row r="61" spans="1:15" ht="15.75" x14ac:dyDescent="0.2">
      <c r="A61" s="142"/>
      <c r="B61" s="142" t="s">
        <v>25</v>
      </c>
      <c r="C61" s="143" t="s">
        <v>156</v>
      </c>
      <c r="D61" s="142">
        <v>24</v>
      </c>
      <c r="E61" s="144">
        <v>11</v>
      </c>
      <c r="F61" s="132">
        <v>16099</v>
      </c>
      <c r="G61" s="133">
        <v>56854</v>
      </c>
      <c r="H61" s="133">
        <v>27144</v>
      </c>
      <c r="I61" s="133">
        <v>68760</v>
      </c>
      <c r="J61" s="133">
        <v>148707</v>
      </c>
      <c r="K61" s="133">
        <v>223572</v>
      </c>
      <c r="L61" s="134">
        <v>268874</v>
      </c>
      <c r="M61" s="140">
        <v>256177</v>
      </c>
      <c r="N61" s="145"/>
      <c r="O61" s="45"/>
    </row>
    <row r="62" spans="1:15" ht="16.5" thickBot="1" x14ac:dyDescent="0.25">
      <c r="A62" s="65"/>
      <c r="B62" s="65"/>
      <c r="C62" s="65"/>
      <c r="D62" s="65"/>
      <c r="E62" s="64">
        <v>12</v>
      </c>
      <c r="F62" s="135">
        <v>17859</v>
      </c>
      <c r="G62" s="136">
        <v>35432</v>
      </c>
      <c r="H62" s="136">
        <v>30823</v>
      </c>
      <c r="I62" s="136">
        <v>39221</v>
      </c>
      <c r="J62" s="136">
        <v>175454</v>
      </c>
      <c r="K62" s="136">
        <v>209186</v>
      </c>
      <c r="L62" s="137">
        <v>249864</v>
      </c>
      <c r="M62" s="141">
        <v>307117</v>
      </c>
      <c r="N62" s="146"/>
      <c r="O62" s="45"/>
    </row>
    <row r="63" spans="1:15" ht="15.75" customHeight="1" x14ac:dyDescent="0.2">
      <c r="A63" s="60">
        <v>5</v>
      </c>
      <c r="B63" s="60" t="s">
        <v>26</v>
      </c>
      <c r="C63" s="147" t="s">
        <v>156</v>
      </c>
      <c r="D63" s="60">
        <v>25</v>
      </c>
      <c r="E63" s="61">
        <v>1</v>
      </c>
      <c r="F63" s="118">
        <v>15911</v>
      </c>
      <c r="G63" s="119">
        <v>40274</v>
      </c>
      <c r="H63" s="119">
        <v>19447</v>
      </c>
      <c r="I63" s="119">
        <v>33351</v>
      </c>
      <c r="J63" s="119">
        <v>130548</v>
      </c>
      <c r="K63" s="119">
        <v>178564</v>
      </c>
      <c r="L63" s="120">
        <v>300220</v>
      </c>
      <c r="M63" s="121">
        <v>249</v>
      </c>
      <c r="N63" s="148" t="s">
        <v>63</v>
      </c>
      <c r="O63" s="45"/>
    </row>
    <row r="64" spans="1:15" ht="16.5" thickBot="1" x14ac:dyDescent="0.25">
      <c r="A64" s="142"/>
      <c r="B64" s="142"/>
      <c r="C64" s="142"/>
      <c r="D64" s="142"/>
      <c r="E64" s="144">
        <v>2</v>
      </c>
      <c r="F64" s="122">
        <v>13872</v>
      </c>
      <c r="G64" s="123">
        <v>12923</v>
      </c>
      <c r="H64" s="123">
        <v>18515</v>
      </c>
      <c r="I64" s="123">
        <v>39861</v>
      </c>
      <c r="J64" s="123">
        <v>129420</v>
      </c>
      <c r="K64" s="123">
        <v>192277</v>
      </c>
      <c r="L64" s="124">
        <v>204376</v>
      </c>
      <c r="M64" s="125">
        <v>299</v>
      </c>
      <c r="N64" s="145"/>
      <c r="O64" s="45"/>
    </row>
    <row r="65" spans="1:15" ht="15.75" x14ac:dyDescent="0.2">
      <c r="A65" s="142"/>
      <c r="B65" s="142" t="s">
        <v>27</v>
      </c>
      <c r="C65" s="143" t="s">
        <v>156</v>
      </c>
      <c r="D65" s="142">
        <v>26</v>
      </c>
      <c r="E65" s="144">
        <v>3</v>
      </c>
      <c r="F65" s="126">
        <v>11489</v>
      </c>
      <c r="G65" s="127">
        <v>14030</v>
      </c>
      <c r="H65" s="127">
        <v>11791</v>
      </c>
      <c r="I65" s="127">
        <v>12104</v>
      </c>
      <c r="J65" s="127">
        <v>12062</v>
      </c>
      <c r="K65" s="127">
        <v>41891</v>
      </c>
      <c r="L65" s="128">
        <v>121989</v>
      </c>
      <c r="M65" s="125">
        <v>360</v>
      </c>
      <c r="N65" s="145"/>
      <c r="O65" s="45"/>
    </row>
    <row r="66" spans="1:15" ht="16.5" thickBot="1" x14ac:dyDescent="0.25">
      <c r="A66" s="142"/>
      <c r="B66" s="142"/>
      <c r="C66" s="142"/>
      <c r="D66" s="142"/>
      <c r="E66" s="144">
        <v>4</v>
      </c>
      <c r="F66" s="129">
        <v>28182</v>
      </c>
      <c r="G66" s="130">
        <v>13332</v>
      </c>
      <c r="H66" s="130">
        <v>12359</v>
      </c>
      <c r="I66" s="130">
        <v>16416</v>
      </c>
      <c r="J66" s="130">
        <v>15208</v>
      </c>
      <c r="K66" s="130">
        <v>110422</v>
      </c>
      <c r="L66" s="131">
        <v>97741</v>
      </c>
      <c r="M66" s="125">
        <v>1273</v>
      </c>
      <c r="N66" s="145"/>
      <c r="O66" s="45"/>
    </row>
    <row r="67" spans="1:15" ht="15.75" x14ac:dyDescent="0.2">
      <c r="A67" s="142"/>
      <c r="B67" s="142" t="s">
        <v>28</v>
      </c>
      <c r="C67" s="143" t="s">
        <v>156</v>
      </c>
      <c r="D67" s="142">
        <v>27</v>
      </c>
      <c r="E67" s="144">
        <v>5</v>
      </c>
      <c r="F67" s="132">
        <v>14117</v>
      </c>
      <c r="G67" s="133">
        <v>14332</v>
      </c>
      <c r="H67" s="133">
        <v>37455</v>
      </c>
      <c r="I67" s="133">
        <v>112523</v>
      </c>
      <c r="J67" s="133">
        <v>217739</v>
      </c>
      <c r="K67" s="133">
        <v>239322</v>
      </c>
      <c r="L67" s="134">
        <v>188429</v>
      </c>
      <c r="M67" s="125">
        <v>3189</v>
      </c>
      <c r="N67" s="145"/>
      <c r="O67" s="45"/>
    </row>
    <row r="68" spans="1:15" ht="16.5" thickBot="1" x14ac:dyDescent="0.25">
      <c r="A68" s="142"/>
      <c r="B68" s="142"/>
      <c r="C68" s="142"/>
      <c r="D68" s="142"/>
      <c r="E68" s="144">
        <v>6</v>
      </c>
      <c r="F68" s="135">
        <v>14039</v>
      </c>
      <c r="G68" s="136">
        <v>13896</v>
      </c>
      <c r="H68" s="136">
        <v>31549</v>
      </c>
      <c r="I68" s="136">
        <v>128895</v>
      </c>
      <c r="J68" s="136">
        <v>211633</v>
      </c>
      <c r="K68" s="136">
        <v>259015</v>
      </c>
      <c r="L68" s="137">
        <v>218888</v>
      </c>
      <c r="M68" s="138">
        <v>3060</v>
      </c>
      <c r="N68" s="145"/>
      <c r="O68" s="45"/>
    </row>
    <row r="69" spans="1:15" ht="15.75" customHeight="1" x14ac:dyDescent="0.2">
      <c r="A69" s="142"/>
      <c r="B69" s="142" t="s">
        <v>29</v>
      </c>
      <c r="C69" s="143" t="s">
        <v>156</v>
      </c>
      <c r="D69" s="142">
        <v>28</v>
      </c>
      <c r="E69" s="144">
        <v>7</v>
      </c>
      <c r="F69" s="118">
        <v>36194</v>
      </c>
      <c r="G69" s="119">
        <v>14322</v>
      </c>
      <c r="H69" s="119">
        <v>13758</v>
      </c>
      <c r="I69" s="119">
        <v>37989</v>
      </c>
      <c r="J69" s="119">
        <v>56071</v>
      </c>
      <c r="K69" s="119">
        <v>181078</v>
      </c>
      <c r="L69" s="120">
        <v>203852</v>
      </c>
      <c r="M69" s="139">
        <v>234157</v>
      </c>
      <c r="N69" s="145" t="s">
        <v>62</v>
      </c>
      <c r="O69" s="45"/>
    </row>
    <row r="70" spans="1:15" ht="16.5" thickBot="1" x14ac:dyDescent="0.25">
      <c r="A70" s="142"/>
      <c r="B70" s="142"/>
      <c r="C70" s="142"/>
      <c r="D70" s="142"/>
      <c r="E70" s="144">
        <v>8</v>
      </c>
      <c r="F70" s="122">
        <v>13858</v>
      </c>
      <c r="G70" s="123">
        <v>14707</v>
      </c>
      <c r="H70" s="123">
        <v>15091</v>
      </c>
      <c r="I70" s="123">
        <v>20981</v>
      </c>
      <c r="J70" s="123">
        <v>70430</v>
      </c>
      <c r="K70" s="123">
        <v>160240</v>
      </c>
      <c r="L70" s="124">
        <v>157408</v>
      </c>
      <c r="M70" s="140">
        <v>180255</v>
      </c>
      <c r="N70" s="145"/>
      <c r="O70" s="45"/>
    </row>
    <row r="71" spans="1:15" ht="15.75" x14ac:dyDescent="0.2">
      <c r="A71" s="142"/>
      <c r="B71" s="142" t="s">
        <v>30</v>
      </c>
      <c r="C71" s="143" t="s">
        <v>156</v>
      </c>
      <c r="D71" s="142">
        <v>29</v>
      </c>
      <c r="E71" s="144">
        <v>9</v>
      </c>
      <c r="F71" s="126">
        <v>459182</v>
      </c>
      <c r="G71" s="127">
        <v>312377</v>
      </c>
      <c r="H71" s="127">
        <v>357186</v>
      </c>
      <c r="I71" s="127">
        <v>285461</v>
      </c>
      <c r="J71" s="127">
        <v>257909</v>
      </c>
      <c r="K71" s="127">
        <v>220098</v>
      </c>
      <c r="L71" s="128">
        <v>244152</v>
      </c>
      <c r="M71" s="140">
        <v>236421</v>
      </c>
      <c r="N71" s="145"/>
      <c r="O71" s="45"/>
    </row>
    <row r="72" spans="1:15" ht="16.5" thickBot="1" x14ac:dyDescent="0.25">
      <c r="A72" s="142"/>
      <c r="B72" s="142"/>
      <c r="C72" s="142"/>
      <c r="D72" s="142"/>
      <c r="E72" s="144">
        <v>10</v>
      </c>
      <c r="F72" s="129">
        <v>411820</v>
      </c>
      <c r="G72" s="130">
        <v>328768</v>
      </c>
      <c r="H72" s="130">
        <v>369764</v>
      </c>
      <c r="I72" s="130">
        <v>321259</v>
      </c>
      <c r="J72" s="130">
        <v>322074</v>
      </c>
      <c r="K72" s="130">
        <v>265699</v>
      </c>
      <c r="L72" s="131">
        <v>248821</v>
      </c>
      <c r="M72" s="140">
        <v>232885</v>
      </c>
      <c r="N72" s="145"/>
      <c r="O72" s="45"/>
    </row>
    <row r="73" spans="1:15" ht="15.75" x14ac:dyDescent="0.2">
      <c r="A73" s="142"/>
      <c r="B73" s="142" t="s">
        <v>31</v>
      </c>
      <c r="C73" s="143" t="s">
        <v>94</v>
      </c>
      <c r="D73" s="142">
        <v>30</v>
      </c>
      <c r="E73" s="144">
        <v>11</v>
      </c>
      <c r="F73" s="132">
        <v>365305</v>
      </c>
      <c r="G73" s="133">
        <v>348008</v>
      </c>
      <c r="H73" s="133">
        <v>325032</v>
      </c>
      <c r="I73" s="133">
        <v>346562</v>
      </c>
      <c r="J73" s="133">
        <v>327148</v>
      </c>
      <c r="K73" s="133">
        <v>381499</v>
      </c>
      <c r="L73" s="134">
        <v>341414</v>
      </c>
      <c r="M73" s="140">
        <v>236853</v>
      </c>
      <c r="N73" s="145"/>
      <c r="O73" s="45"/>
    </row>
    <row r="74" spans="1:15" ht="16.5" thickBot="1" x14ac:dyDescent="0.25">
      <c r="A74" s="65"/>
      <c r="B74" s="65"/>
      <c r="C74" s="65"/>
      <c r="D74" s="65"/>
      <c r="E74" s="64">
        <v>12</v>
      </c>
      <c r="F74" s="135">
        <v>418966</v>
      </c>
      <c r="G74" s="136">
        <v>352474</v>
      </c>
      <c r="H74" s="136">
        <v>412129</v>
      </c>
      <c r="I74" s="136">
        <v>383641</v>
      </c>
      <c r="J74" s="136">
        <v>358572</v>
      </c>
      <c r="K74" s="136">
        <v>338847</v>
      </c>
      <c r="L74" s="137">
        <v>345830</v>
      </c>
      <c r="M74" s="141">
        <v>318968</v>
      </c>
      <c r="N74" s="146"/>
      <c r="O74" s="45"/>
    </row>
  </sheetData>
  <mergeCells count="115">
    <mergeCell ref="D73:D74"/>
    <mergeCell ref="A13:E13"/>
    <mergeCell ref="D67:D68"/>
    <mergeCell ref="B69:B70"/>
    <mergeCell ref="C69:C70"/>
    <mergeCell ref="D69:D70"/>
    <mergeCell ref="N69:N74"/>
    <mergeCell ref="B71:B72"/>
    <mergeCell ref="C71:C72"/>
    <mergeCell ref="D71:D72"/>
    <mergeCell ref="B73:B74"/>
    <mergeCell ref="C73:C74"/>
    <mergeCell ref="A63:A74"/>
    <mergeCell ref="B63:B64"/>
    <mergeCell ref="C63:C64"/>
    <mergeCell ref="D63:D64"/>
    <mergeCell ref="N63:N68"/>
    <mergeCell ref="B65:B66"/>
    <mergeCell ref="C65:C66"/>
    <mergeCell ref="D65:D66"/>
    <mergeCell ref="B67:B68"/>
    <mergeCell ref="C67:C68"/>
    <mergeCell ref="N57:N62"/>
    <mergeCell ref="B59:B60"/>
    <mergeCell ref="C59:C60"/>
    <mergeCell ref="D59:D60"/>
    <mergeCell ref="B61:B62"/>
    <mergeCell ref="C61:C62"/>
    <mergeCell ref="D61:D62"/>
    <mergeCell ref="N51:N56"/>
    <mergeCell ref="B53:B54"/>
    <mergeCell ref="C53:C54"/>
    <mergeCell ref="D53:D54"/>
    <mergeCell ref="B55:B56"/>
    <mergeCell ref="C55:C56"/>
    <mergeCell ref="D55:D56"/>
    <mergeCell ref="C49:C50"/>
    <mergeCell ref="D49:D50"/>
    <mergeCell ref="A51:A62"/>
    <mergeCell ref="B51:B52"/>
    <mergeCell ref="C51:C52"/>
    <mergeCell ref="D51:D52"/>
    <mergeCell ref="B57:B58"/>
    <mergeCell ref="C57:C58"/>
    <mergeCell ref="D57:D58"/>
    <mergeCell ref="C43:C44"/>
    <mergeCell ref="D43:D44"/>
    <mergeCell ref="B45:B46"/>
    <mergeCell ref="C45:C46"/>
    <mergeCell ref="D45:D46"/>
    <mergeCell ref="N45:N50"/>
    <mergeCell ref="B47:B48"/>
    <mergeCell ref="C47:C48"/>
    <mergeCell ref="D47:D48"/>
    <mergeCell ref="B49:B50"/>
    <mergeCell ref="D37:D38"/>
    <mergeCell ref="A39:A50"/>
    <mergeCell ref="B39:B40"/>
    <mergeCell ref="C39:C40"/>
    <mergeCell ref="D39:D40"/>
    <mergeCell ref="N39:N44"/>
    <mergeCell ref="B41:B42"/>
    <mergeCell ref="C41:C42"/>
    <mergeCell ref="D41:D42"/>
    <mergeCell ref="B43:B44"/>
    <mergeCell ref="D31:D32"/>
    <mergeCell ref="B33:B34"/>
    <mergeCell ref="C33:C34"/>
    <mergeCell ref="D33:D34"/>
    <mergeCell ref="N33:N38"/>
    <mergeCell ref="B35:B36"/>
    <mergeCell ref="C35:C36"/>
    <mergeCell ref="D35:D36"/>
    <mergeCell ref="B37:B38"/>
    <mergeCell ref="C37:C38"/>
    <mergeCell ref="A27:A38"/>
    <mergeCell ref="B27:B28"/>
    <mergeCell ref="C27:C28"/>
    <mergeCell ref="D27:D28"/>
    <mergeCell ref="N27:N32"/>
    <mergeCell ref="B29:B30"/>
    <mergeCell ref="C29:C30"/>
    <mergeCell ref="D29:D30"/>
    <mergeCell ref="B31:B32"/>
    <mergeCell ref="C31:C32"/>
    <mergeCell ref="N21:N26"/>
    <mergeCell ref="B23:B24"/>
    <mergeCell ref="C23:C24"/>
    <mergeCell ref="D23:D24"/>
    <mergeCell ref="B25:B26"/>
    <mergeCell ref="C25:C26"/>
    <mergeCell ref="D25:D26"/>
    <mergeCell ref="D17:D18"/>
    <mergeCell ref="B19:B20"/>
    <mergeCell ref="C19:C20"/>
    <mergeCell ref="D19:D20"/>
    <mergeCell ref="B21:B22"/>
    <mergeCell ref="C21:C22"/>
    <mergeCell ref="D21:D22"/>
    <mergeCell ref="A3:A10"/>
    <mergeCell ref="D11:I11"/>
    <mergeCell ref="J11:O11"/>
    <mergeCell ref="A15:A26"/>
    <mergeCell ref="B15:B16"/>
    <mergeCell ref="C15:C16"/>
    <mergeCell ref="D15:D16"/>
    <mergeCell ref="N15:N20"/>
    <mergeCell ref="B17:B18"/>
    <mergeCell ref="C17:C18"/>
    <mergeCell ref="D1:E1"/>
    <mergeCell ref="F1:G1"/>
    <mergeCell ref="H1:I1"/>
    <mergeCell ref="J1:K1"/>
    <mergeCell ref="L1:M1"/>
    <mergeCell ref="N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277B3-7F59-4586-9F67-A66807CAA930}">
  <dimension ref="A1:P74"/>
  <sheetViews>
    <sheetView tabSelected="1" workbookViewId="0">
      <selection activeCell="Q24" sqref="Q24"/>
    </sheetView>
  </sheetViews>
  <sheetFormatPr defaultRowHeight="14.25" x14ac:dyDescent="0.2"/>
  <cols>
    <col min="2" max="2" width="24.625" bestFit="1" customWidth="1"/>
  </cols>
  <sheetData>
    <row r="1" spans="1:16" ht="15.75" x14ac:dyDescent="0.25">
      <c r="A1" s="43"/>
      <c r="B1" s="43"/>
      <c r="C1" s="43"/>
      <c r="D1" s="98" t="s">
        <v>145</v>
      </c>
      <c r="E1" s="98"/>
      <c r="F1" s="69" t="s">
        <v>146</v>
      </c>
      <c r="G1" s="69"/>
      <c r="H1" s="76" t="s">
        <v>147</v>
      </c>
      <c r="I1" s="76"/>
      <c r="J1" s="98" t="s">
        <v>148</v>
      </c>
      <c r="K1" s="98"/>
      <c r="L1" s="69" t="s">
        <v>149</v>
      </c>
      <c r="M1" s="69"/>
      <c r="N1" s="76" t="s">
        <v>150</v>
      </c>
      <c r="O1" s="76"/>
    </row>
    <row r="2" spans="1:16" ht="16.5" thickBot="1" x14ac:dyDescent="0.3">
      <c r="A2" s="43"/>
      <c r="B2" s="44"/>
      <c r="C2" s="44"/>
      <c r="D2" s="99">
        <v>1</v>
      </c>
      <c r="E2" s="99">
        <v>2</v>
      </c>
      <c r="F2" s="70">
        <v>3</v>
      </c>
      <c r="G2" s="70">
        <v>4</v>
      </c>
      <c r="H2" s="77">
        <v>5</v>
      </c>
      <c r="I2" s="77">
        <v>6</v>
      </c>
      <c r="J2" s="99">
        <v>7</v>
      </c>
      <c r="K2" s="99">
        <v>8</v>
      </c>
      <c r="L2" s="70">
        <v>9</v>
      </c>
      <c r="M2" s="70">
        <v>10</v>
      </c>
      <c r="N2" s="77">
        <v>11</v>
      </c>
      <c r="O2" s="77">
        <v>12</v>
      </c>
    </row>
    <row r="3" spans="1:16" ht="15.75" customHeight="1" x14ac:dyDescent="0.2">
      <c r="A3" s="46" t="s">
        <v>117</v>
      </c>
      <c r="B3" s="47" t="s">
        <v>118</v>
      </c>
      <c r="C3" s="71" t="s">
        <v>94</v>
      </c>
      <c r="D3" s="100"/>
      <c r="E3" s="101"/>
      <c r="F3" s="78"/>
      <c r="G3" s="79"/>
      <c r="H3" s="84"/>
      <c r="I3" s="85"/>
      <c r="J3" s="100"/>
      <c r="K3" s="101"/>
      <c r="L3" s="78"/>
      <c r="M3" s="79"/>
      <c r="N3" s="84"/>
      <c r="O3" s="85"/>
    </row>
    <row r="4" spans="1:16" ht="15.75" x14ac:dyDescent="0.2">
      <c r="A4" s="46"/>
      <c r="B4" s="47" t="s">
        <v>126</v>
      </c>
      <c r="C4" s="71" t="s">
        <v>120</v>
      </c>
      <c r="D4" s="102"/>
      <c r="E4" s="103"/>
      <c r="F4" s="80"/>
      <c r="G4" s="81"/>
      <c r="H4" s="86"/>
      <c r="I4" s="87"/>
      <c r="J4" s="102"/>
      <c r="K4" s="103"/>
      <c r="L4" s="80"/>
      <c r="M4" s="81"/>
      <c r="N4" s="86"/>
      <c r="O4" s="87"/>
    </row>
    <row r="5" spans="1:16" ht="15.75" x14ac:dyDescent="0.2">
      <c r="A5" s="46"/>
      <c r="B5" s="47" t="s">
        <v>127</v>
      </c>
      <c r="C5" s="71" t="s">
        <v>121</v>
      </c>
      <c r="D5" s="102"/>
      <c r="E5" s="103"/>
      <c r="F5" s="80"/>
      <c r="G5" s="81"/>
      <c r="H5" s="86"/>
      <c r="I5" s="87"/>
      <c r="J5" s="102"/>
      <c r="K5" s="103"/>
      <c r="L5" s="80"/>
      <c r="M5" s="81"/>
      <c r="N5" s="86"/>
      <c r="O5" s="87"/>
    </row>
    <row r="6" spans="1:16" ht="15.75" x14ac:dyDescent="0.2">
      <c r="A6" s="46"/>
      <c r="B6" s="47" t="s">
        <v>130</v>
      </c>
      <c r="C6" s="71" t="s">
        <v>122</v>
      </c>
      <c r="D6" s="102"/>
      <c r="E6" s="103"/>
      <c r="F6" s="80"/>
      <c r="G6" s="81"/>
      <c r="H6" s="86"/>
      <c r="I6" s="87"/>
      <c r="J6" s="102"/>
      <c r="K6" s="103"/>
      <c r="L6" s="80"/>
      <c r="M6" s="81"/>
      <c r="N6" s="86"/>
      <c r="O6" s="87"/>
    </row>
    <row r="7" spans="1:16" ht="15.75" x14ac:dyDescent="0.2">
      <c r="A7" s="46"/>
      <c r="B7" s="47" t="s">
        <v>131</v>
      </c>
      <c r="C7" s="71" t="s">
        <v>123</v>
      </c>
      <c r="D7" s="102"/>
      <c r="E7" s="103"/>
      <c r="F7" s="80"/>
      <c r="G7" s="81"/>
      <c r="H7" s="86"/>
      <c r="I7" s="87"/>
      <c r="J7" s="102"/>
      <c r="K7" s="103"/>
      <c r="L7" s="80"/>
      <c r="M7" s="81"/>
      <c r="N7" s="86"/>
      <c r="O7" s="87"/>
    </row>
    <row r="8" spans="1:16" ht="15.75" x14ac:dyDescent="0.2">
      <c r="A8" s="46"/>
      <c r="B8" s="47" t="s">
        <v>134</v>
      </c>
      <c r="C8" s="71" t="s">
        <v>124</v>
      </c>
      <c r="D8" s="102"/>
      <c r="E8" s="103"/>
      <c r="F8" s="80"/>
      <c r="G8" s="81"/>
      <c r="H8" s="86"/>
      <c r="I8" s="87"/>
      <c r="J8" s="102"/>
      <c r="K8" s="103"/>
      <c r="L8" s="80"/>
      <c r="M8" s="81"/>
      <c r="N8" s="86"/>
      <c r="O8" s="87"/>
    </row>
    <row r="9" spans="1:16" ht="16.5" thickBot="1" x14ac:dyDescent="0.25">
      <c r="A9" s="46"/>
      <c r="B9" s="47" t="s">
        <v>135</v>
      </c>
      <c r="C9" s="71" t="s">
        <v>151</v>
      </c>
      <c r="D9" s="104"/>
      <c r="E9" s="105"/>
      <c r="F9" s="82"/>
      <c r="G9" s="83"/>
      <c r="H9" s="88"/>
      <c r="I9" s="89"/>
      <c r="J9" s="104"/>
      <c r="K9" s="105"/>
      <c r="L9" s="82"/>
      <c r="M9" s="83"/>
      <c r="N9" s="88"/>
      <c r="O9" s="89"/>
    </row>
    <row r="10" spans="1:16" ht="16.5" thickBot="1" x14ac:dyDescent="0.25">
      <c r="A10" s="46"/>
      <c r="B10" s="47" t="s">
        <v>139</v>
      </c>
      <c r="C10" s="72" t="s">
        <v>152</v>
      </c>
      <c r="D10" s="92"/>
      <c r="E10" s="93"/>
      <c r="F10" s="93"/>
      <c r="G10" s="93"/>
      <c r="H10" s="93"/>
      <c r="I10" s="94"/>
      <c r="J10" s="95"/>
      <c r="K10" s="96"/>
      <c r="L10" s="96"/>
      <c r="M10" s="96"/>
      <c r="N10" s="96"/>
      <c r="O10" s="97"/>
    </row>
    <row r="11" spans="1:16" ht="15.75" x14ac:dyDescent="0.2">
      <c r="A11" s="48"/>
      <c r="B11" s="47"/>
      <c r="C11" s="49"/>
      <c r="D11" s="90" t="s">
        <v>63</v>
      </c>
      <c r="E11" s="90"/>
      <c r="F11" s="90"/>
      <c r="G11" s="90"/>
      <c r="H11" s="90"/>
      <c r="I11" s="90"/>
      <c r="J11" s="91" t="s">
        <v>62</v>
      </c>
      <c r="K11" s="91"/>
      <c r="L11" s="91"/>
      <c r="M11" s="91"/>
      <c r="N11" s="91"/>
      <c r="O11" s="91"/>
    </row>
    <row r="12" spans="1:16" ht="15.75" x14ac:dyDescent="0.2">
      <c r="A12" s="48"/>
      <c r="B12" s="47"/>
      <c r="C12" s="47"/>
      <c r="D12" s="47"/>
      <c r="E12" s="47"/>
      <c r="F12" s="49"/>
      <c r="G12" s="49"/>
      <c r="H12" s="49"/>
      <c r="I12" s="49"/>
      <c r="J12" s="49"/>
      <c r="K12" s="49"/>
      <c r="L12" s="49"/>
      <c r="M12" s="49"/>
      <c r="N12" s="49"/>
      <c r="O12" s="49"/>
    </row>
    <row r="13" spans="1:16" ht="18.75" x14ac:dyDescent="0.2">
      <c r="A13" s="107" t="s">
        <v>155</v>
      </c>
      <c r="B13" s="107"/>
      <c r="C13" s="107"/>
      <c r="D13" s="107"/>
      <c r="E13" s="107"/>
      <c r="F13" s="52">
        <v>20</v>
      </c>
      <c r="G13" s="52">
        <v>40</v>
      </c>
      <c r="H13" s="52">
        <v>80</v>
      </c>
      <c r="I13" s="53">
        <v>160</v>
      </c>
      <c r="J13" s="53">
        <v>320</v>
      </c>
      <c r="K13" s="53">
        <v>640</v>
      </c>
      <c r="L13" s="53">
        <v>1280</v>
      </c>
      <c r="M13" s="52" t="s">
        <v>152</v>
      </c>
      <c r="N13" s="45"/>
      <c r="O13" s="52"/>
    </row>
    <row r="14" spans="1:16" ht="32.25" thickBot="1" x14ac:dyDescent="0.25">
      <c r="A14" s="73" t="s">
        <v>58</v>
      </c>
      <c r="B14" s="73" t="s">
        <v>153</v>
      </c>
      <c r="C14" s="73" t="s">
        <v>32</v>
      </c>
      <c r="D14" s="73" t="s">
        <v>140</v>
      </c>
      <c r="E14" s="73" t="s">
        <v>154</v>
      </c>
      <c r="F14" s="74" t="s">
        <v>118</v>
      </c>
      <c r="G14" s="74" t="s">
        <v>126</v>
      </c>
      <c r="H14" s="74" t="s">
        <v>127</v>
      </c>
      <c r="I14" s="74" t="s">
        <v>130</v>
      </c>
      <c r="J14" s="74" t="s">
        <v>131</v>
      </c>
      <c r="K14" s="74" t="s">
        <v>134</v>
      </c>
      <c r="L14" s="74" t="s">
        <v>135</v>
      </c>
      <c r="M14" s="74" t="s">
        <v>139</v>
      </c>
      <c r="N14" s="74"/>
      <c r="O14" s="74"/>
    </row>
    <row r="15" spans="1:16" ht="16.5" customHeight="1" x14ac:dyDescent="0.2">
      <c r="A15" s="60">
        <v>1</v>
      </c>
      <c r="B15" s="60" t="s">
        <v>2</v>
      </c>
      <c r="C15" s="147" t="s">
        <v>156</v>
      </c>
      <c r="D15" s="60">
        <v>1</v>
      </c>
      <c r="E15" s="61">
        <v>1</v>
      </c>
      <c r="F15" s="118">
        <v>13854</v>
      </c>
      <c r="G15" s="119">
        <v>21910</v>
      </c>
      <c r="H15" s="119">
        <v>56133</v>
      </c>
      <c r="I15" s="119">
        <v>182975</v>
      </c>
      <c r="J15" s="119">
        <v>165984</v>
      </c>
      <c r="K15" s="119">
        <v>207310</v>
      </c>
      <c r="L15" s="120">
        <v>248549</v>
      </c>
      <c r="M15" s="121">
        <v>219</v>
      </c>
      <c r="N15" s="148" t="s">
        <v>63</v>
      </c>
      <c r="O15" s="45"/>
    </row>
    <row r="16" spans="1:16" ht="16.5" thickBot="1" x14ac:dyDescent="0.25">
      <c r="A16" s="142"/>
      <c r="B16" s="142"/>
      <c r="C16" s="142"/>
      <c r="D16" s="142"/>
      <c r="E16" s="144">
        <v>2</v>
      </c>
      <c r="F16" s="122">
        <v>12858</v>
      </c>
      <c r="G16" s="123">
        <v>18710</v>
      </c>
      <c r="H16" s="123">
        <v>45980</v>
      </c>
      <c r="I16" s="123">
        <v>126286</v>
      </c>
      <c r="J16" s="123">
        <v>167188</v>
      </c>
      <c r="K16" s="123">
        <v>193338</v>
      </c>
      <c r="L16" s="124">
        <v>238041</v>
      </c>
      <c r="M16" s="125">
        <v>142</v>
      </c>
      <c r="N16" s="145"/>
      <c r="O16" s="45"/>
      <c r="P16" s="106"/>
    </row>
    <row r="17" spans="1:16" ht="15.75" x14ac:dyDescent="0.2">
      <c r="A17" s="142"/>
      <c r="B17" s="142" t="s">
        <v>3</v>
      </c>
      <c r="C17" s="143" t="s">
        <v>156</v>
      </c>
      <c r="D17" s="142">
        <v>2</v>
      </c>
      <c r="E17" s="144">
        <v>3</v>
      </c>
      <c r="F17" s="126">
        <v>31801</v>
      </c>
      <c r="G17" s="127">
        <v>63868</v>
      </c>
      <c r="H17" s="127">
        <v>121194</v>
      </c>
      <c r="I17" s="127">
        <v>142026</v>
      </c>
      <c r="J17" s="127">
        <v>176969</v>
      </c>
      <c r="K17" s="127">
        <v>192498</v>
      </c>
      <c r="L17" s="128">
        <v>178129</v>
      </c>
      <c r="M17" s="125">
        <v>149</v>
      </c>
      <c r="N17" s="145"/>
      <c r="O17" s="45"/>
      <c r="P17" s="106"/>
    </row>
    <row r="18" spans="1:16" ht="16.5" thickBot="1" x14ac:dyDescent="0.25">
      <c r="A18" s="142"/>
      <c r="B18" s="142"/>
      <c r="C18" s="142"/>
      <c r="D18" s="142"/>
      <c r="E18" s="144">
        <v>4</v>
      </c>
      <c r="F18" s="129">
        <v>32257</v>
      </c>
      <c r="G18" s="130">
        <v>70462</v>
      </c>
      <c r="H18" s="130">
        <v>154200</v>
      </c>
      <c r="I18" s="130">
        <v>151757</v>
      </c>
      <c r="J18" s="130">
        <v>166090</v>
      </c>
      <c r="K18" s="130">
        <v>135289</v>
      </c>
      <c r="L18" s="131">
        <v>209120</v>
      </c>
      <c r="M18" s="125">
        <v>121</v>
      </c>
      <c r="N18" s="145"/>
      <c r="O18" s="45"/>
      <c r="P18" s="106"/>
    </row>
    <row r="19" spans="1:16" ht="15.75" x14ac:dyDescent="0.2">
      <c r="A19" s="142"/>
      <c r="B19" s="142" t="s">
        <v>4</v>
      </c>
      <c r="C19" s="143" t="s">
        <v>156</v>
      </c>
      <c r="D19" s="142">
        <v>3</v>
      </c>
      <c r="E19" s="144">
        <v>5</v>
      </c>
      <c r="F19" s="132">
        <v>13518</v>
      </c>
      <c r="G19" s="133">
        <v>13678</v>
      </c>
      <c r="H19" s="133">
        <v>16370</v>
      </c>
      <c r="I19" s="133">
        <v>28399</v>
      </c>
      <c r="J19" s="133">
        <v>52555</v>
      </c>
      <c r="K19" s="133">
        <v>124949</v>
      </c>
      <c r="L19" s="134">
        <v>124145</v>
      </c>
      <c r="M19" s="125">
        <v>117</v>
      </c>
      <c r="N19" s="145"/>
      <c r="O19" s="45"/>
      <c r="P19" s="106"/>
    </row>
    <row r="20" spans="1:16" ht="16.5" thickBot="1" x14ac:dyDescent="0.25">
      <c r="A20" s="142"/>
      <c r="B20" s="142"/>
      <c r="C20" s="142"/>
      <c r="D20" s="142"/>
      <c r="E20" s="144">
        <v>6</v>
      </c>
      <c r="F20" s="135">
        <v>14507</v>
      </c>
      <c r="G20" s="136">
        <v>17510</v>
      </c>
      <c r="H20" s="136">
        <v>14496</v>
      </c>
      <c r="I20" s="136">
        <v>19421</v>
      </c>
      <c r="J20" s="136">
        <v>72156</v>
      </c>
      <c r="K20" s="136">
        <v>123837</v>
      </c>
      <c r="L20" s="137">
        <v>144556</v>
      </c>
      <c r="M20" s="138">
        <v>187</v>
      </c>
      <c r="N20" s="145"/>
      <c r="O20" s="45"/>
      <c r="P20" s="106"/>
    </row>
    <row r="21" spans="1:16" ht="14.25" customHeight="1" x14ac:dyDescent="0.2">
      <c r="A21" s="142"/>
      <c r="B21" s="142" t="s">
        <v>5</v>
      </c>
      <c r="C21" s="143" t="s">
        <v>156</v>
      </c>
      <c r="D21" s="142">
        <v>4</v>
      </c>
      <c r="E21" s="144">
        <v>7</v>
      </c>
      <c r="F21" s="118">
        <v>25190</v>
      </c>
      <c r="G21" s="119">
        <v>31855</v>
      </c>
      <c r="H21" s="119">
        <v>89943</v>
      </c>
      <c r="I21" s="119">
        <v>120444</v>
      </c>
      <c r="J21" s="119">
        <v>214604</v>
      </c>
      <c r="K21" s="119">
        <v>194861</v>
      </c>
      <c r="L21" s="120">
        <v>127806</v>
      </c>
      <c r="M21" s="139">
        <v>181225</v>
      </c>
      <c r="N21" s="145" t="s">
        <v>62</v>
      </c>
      <c r="O21" s="45"/>
      <c r="P21" s="106"/>
    </row>
    <row r="22" spans="1:16" ht="16.5" thickBot="1" x14ac:dyDescent="0.25">
      <c r="A22" s="142"/>
      <c r="B22" s="142"/>
      <c r="C22" s="142"/>
      <c r="D22" s="142"/>
      <c r="E22" s="144">
        <v>8</v>
      </c>
      <c r="F22" s="122">
        <v>25327</v>
      </c>
      <c r="G22" s="123">
        <v>45488</v>
      </c>
      <c r="H22" s="123">
        <v>99380</v>
      </c>
      <c r="I22" s="123">
        <v>139341</v>
      </c>
      <c r="J22" s="123">
        <v>157985</v>
      </c>
      <c r="K22" s="123">
        <v>135445</v>
      </c>
      <c r="L22" s="124">
        <v>175506</v>
      </c>
      <c r="M22" s="140">
        <v>208610</v>
      </c>
      <c r="N22" s="145"/>
      <c r="O22" s="45"/>
      <c r="P22" s="106"/>
    </row>
    <row r="23" spans="1:16" ht="15.75" x14ac:dyDescent="0.2">
      <c r="A23" s="142"/>
      <c r="B23" s="142" t="s">
        <v>6</v>
      </c>
      <c r="C23" s="143" t="s">
        <v>156</v>
      </c>
      <c r="D23" s="142">
        <v>5</v>
      </c>
      <c r="E23" s="144">
        <v>9</v>
      </c>
      <c r="F23" s="126">
        <v>14263</v>
      </c>
      <c r="G23" s="127">
        <v>23638</v>
      </c>
      <c r="H23" s="127">
        <v>58789</v>
      </c>
      <c r="I23" s="127">
        <v>96418</v>
      </c>
      <c r="J23" s="127">
        <v>143334</v>
      </c>
      <c r="K23" s="127">
        <v>159302</v>
      </c>
      <c r="L23" s="128">
        <v>188706</v>
      </c>
      <c r="M23" s="140">
        <v>180512</v>
      </c>
      <c r="N23" s="145"/>
      <c r="O23" s="45"/>
      <c r="P23" s="106"/>
    </row>
    <row r="24" spans="1:16" ht="16.5" thickBot="1" x14ac:dyDescent="0.25">
      <c r="A24" s="142"/>
      <c r="B24" s="142"/>
      <c r="C24" s="142"/>
      <c r="D24" s="142"/>
      <c r="E24" s="144">
        <v>10</v>
      </c>
      <c r="F24" s="129">
        <v>16167</v>
      </c>
      <c r="G24" s="130">
        <v>23839</v>
      </c>
      <c r="H24" s="130">
        <v>86003</v>
      </c>
      <c r="I24" s="130">
        <v>172350</v>
      </c>
      <c r="J24" s="130">
        <v>197422</v>
      </c>
      <c r="K24" s="130">
        <v>138877</v>
      </c>
      <c r="L24" s="131">
        <v>192703</v>
      </c>
      <c r="M24" s="140">
        <v>253231</v>
      </c>
      <c r="N24" s="145"/>
      <c r="O24" s="45"/>
      <c r="P24" s="106"/>
    </row>
    <row r="25" spans="1:16" ht="15.75" x14ac:dyDescent="0.2">
      <c r="A25" s="142"/>
      <c r="B25" s="142" t="s">
        <v>7</v>
      </c>
      <c r="C25" s="143" t="s">
        <v>156</v>
      </c>
      <c r="D25" s="142">
        <v>6</v>
      </c>
      <c r="E25" s="144">
        <v>11</v>
      </c>
      <c r="F25" s="132">
        <v>45865</v>
      </c>
      <c r="G25" s="133">
        <v>74680</v>
      </c>
      <c r="H25" s="133">
        <v>140433</v>
      </c>
      <c r="I25" s="133">
        <v>190885</v>
      </c>
      <c r="J25" s="133">
        <v>194614</v>
      </c>
      <c r="K25" s="133">
        <v>214612</v>
      </c>
      <c r="L25" s="134">
        <v>204470</v>
      </c>
      <c r="M25" s="140">
        <v>220051</v>
      </c>
      <c r="N25" s="145"/>
      <c r="O25" s="45"/>
      <c r="P25" s="106"/>
    </row>
    <row r="26" spans="1:16" ht="16.5" thickBot="1" x14ac:dyDescent="0.25">
      <c r="A26" s="65"/>
      <c r="B26" s="65"/>
      <c r="C26" s="65"/>
      <c r="D26" s="65"/>
      <c r="E26" s="64">
        <v>12</v>
      </c>
      <c r="F26" s="135">
        <v>55360</v>
      </c>
      <c r="G26" s="136">
        <v>85554</v>
      </c>
      <c r="H26" s="136">
        <v>112534</v>
      </c>
      <c r="I26" s="136">
        <v>175755</v>
      </c>
      <c r="J26" s="136">
        <v>183981</v>
      </c>
      <c r="K26" s="136">
        <v>223110</v>
      </c>
      <c r="L26" s="137">
        <v>215275</v>
      </c>
      <c r="M26" s="141">
        <v>243533</v>
      </c>
      <c r="N26" s="146"/>
      <c r="O26" s="45"/>
      <c r="P26" s="106"/>
    </row>
    <row r="27" spans="1:16" ht="14.25" customHeight="1" x14ac:dyDescent="0.2">
      <c r="A27" s="60">
        <v>2</v>
      </c>
      <c r="B27" s="60" t="s">
        <v>8</v>
      </c>
      <c r="C27" s="147" t="s">
        <v>156</v>
      </c>
      <c r="D27" s="60">
        <v>7</v>
      </c>
      <c r="E27" s="61">
        <v>1</v>
      </c>
      <c r="F27" s="118">
        <v>14358</v>
      </c>
      <c r="G27" s="119">
        <v>12049</v>
      </c>
      <c r="H27" s="119">
        <v>11877</v>
      </c>
      <c r="I27" s="119">
        <v>48464</v>
      </c>
      <c r="J27" s="119">
        <v>137343</v>
      </c>
      <c r="K27" s="119">
        <v>194065</v>
      </c>
      <c r="L27" s="120">
        <v>244051</v>
      </c>
      <c r="M27" s="121">
        <v>173</v>
      </c>
      <c r="N27" s="148" t="s">
        <v>63</v>
      </c>
      <c r="O27" s="45"/>
      <c r="P27" s="106"/>
    </row>
    <row r="28" spans="1:16" ht="16.5" thickBot="1" x14ac:dyDescent="0.25">
      <c r="A28" s="142"/>
      <c r="B28" s="142"/>
      <c r="C28" s="142"/>
      <c r="D28" s="142"/>
      <c r="E28" s="144">
        <v>2</v>
      </c>
      <c r="F28" s="122">
        <v>11677</v>
      </c>
      <c r="G28" s="123">
        <v>30744</v>
      </c>
      <c r="H28" s="123">
        <v>15070</v>
      </c>
      <c r="I28" s="123">
        <v>38940</v>
      </c>
      <c r="J28" s="123">
        <v>86516</v>
      </c>
      <c r="K28" s="123">
        <v>167600</v>
      </c>
      <c r="L28" s="124">
        <v>157171</v>
      </c>
      <c r="M28" s="125">
        <v>100</v>
      </c>
      <c r="N28" s="145"/>
      <c r="O28" s="45"/>
      <c r="P28" s="106"/>
    </row>
    <row r="29" spans="1:16" ht="15.75" x14ac:dyDescent="0.2">
      <c r="A29" s="142"/>
      <c r="B29" s="142" t="s">
        <v>9</v>
      </c>
      <c r="C29" s="143" t="s">
        <v>94</v>
      </c>
      <c r="D29" s="142">
        <v>8</v>
      </c>
      <c r="E29" s="144">
        <v>3</v>
      </c>
      <c r="F29" s="126">
        <v>10395</v>
      </c>
      <c r="G29" s="127">
        <v>11673</v>
      </c>
      <c r="H29" s="127">
        <v>15770</v>
      </c>
      <c r="I29" s="127">
        <v>47021</v>
      </c>
      <c r="J29" s="127">
        <v>135963</v>
      </c>
      <c r="K29" s="127">
        <v>122375</v>
      </c>
      <c r="L29" s="128">
        <v>165965</v>
      </c>
      <c r="M29" s="125">
        <v>127</v>
      </c>
      <c r="N29" s="145"/>
      <c r="O29" s="45"/>
      <c r="P29" s="106"/>
    </row>
    <row r="30" spans="1:16" ht="16.5" thickBot="1" x14ac:dyDescent="0.25">
      <c r="A30" s="142"/>
      <c r="B30" s="142"/>
      <c r="C30" s="142"/>
      <c r="D30" s="142"/>
      <c r="E30" s="144">
        <v>4</v>
      </c>
      <c r="F30" s="129">
        <v>11545</v>
      </c>
      <c r="G30" s="130">
        <v>11838</v>
      </c>
      <c r="H30" s="130">
        <v>19823</v>
      </c>
      <c r="I30" s="130">
        <v>53152</v>
      </c>
      <c r="J30" s="130">
        <v>88246</v>
      </c>
      <c r="K30" s="130">
        <v>134585</v>
      </c>
      <c r="L30" s="131">
        <v>128282</v>
      </c>
      <c r="M30" s="125">
        <v>114</v>
      </c>
      <c r="N30" s="145"/>
      <c r="O30" s="45"/>
      <c r="P30" s="106"/>
    </row>
    <row r="31" spans="1:16" ht="15.75" x14ac:dyDescent="0.2">
      <c r="A31" s="142"/>
      <c r="B31" s="142" t="s">
        <v>10</v>
      </c>
      <c r="C31" s="143" t="s">
        <v>157</v>
      </c>
      <c r="D31" s="142">
        <v>9</v>
      </c>
      <c r="E31" s="144">
        <v>5</v>
      </c>
      <c r="F31" s="132">
        <v>16814</v>
      </c>
      <c r="G31" s="133">
        <v>36256</v>
      </c>
      <c r="H31" s="133">
        <v>53839</v>
      </c>
      <c r="I31" s="133">
        <v>103949</v>
      </c>
      <c r="J31" s="133">
        <v>155530</v>
      </c>
      <c r="K31" s="133">
        <v>151760</v>
      </c>
      <c r="L31" s="134">
        <v>157786</v>
      </c>
      <c r="M31" s="125">
        <v>162</v>
      </c>
      <c r="N31" s="145"/>
      <c r="O31" s="45"/>
      <c r="P31" s="106"/>
    </row>
    <row r="32" spans="1:16" ht="16.5" thickBot="1" x14ac:dyDescent="0.25">
      <c r="A32" s="142"/>
      <c r="B32" s="142"/>
      <c r="C32" s="142"/>
      <c r="D32" s="142"/>
      <c r="E32" s="144">
        <v>6</v>
      </c>
      <c r="F32" s="135">
        <v>11697</v>
      </c>
      <c r="G32" s="136">
        <v>21910</v>
      </c>
      <c r="H32" s="136">
        <v>64871</v>
      </c>
      <c r="I32" s="136">
        <v>118349</v>
      </c>
      <c r="J32" s="136">
        <v>137413</v>
      </c>
      <c r="K32" s="136">
        <v>174852</v>
      </c>
      <c r="L32" s="137">
        <v>156187</v>
      </c>
      <c r="M32" s="138">
        <v>206</v>
      </c>
      <c r="N32" s="145"/>
      <c r="O32" s="45"/>
      <c r="P32" s="106"/>
    </row>
    <row r="33" spans="1:16" ht="14.25" customHeight="1" x14ac:dyDescent="0.2">
      <c r="A33" s="142"/>
      <c r="B33" s="142" t="s">
        <v>11</v>
      </c>
      <c r="C33" s="143" t="s">
        <v>156</v>
      </c>
      <c r="D33" s="142">
        <v>10</v>
      </c>
      <c r="E33" s="144">
        <v>7</v>
      </c>
      <c r="F33" s="118">
        <v>12695</v>
      </c>
      <c r="G33" s="119">
        <v>24972</v>
      </c>
      <c r="H33" s="119">
        <v>49581</v>
      </c>
      <c r="I33" s="119">
        <v>67368</v>
      </c>
      <c r="J33" s="119">
        <v>118886</v>
      </c>
      <c r="K33" s="119">
        <v>158543</v>
      </c>
      <c r="L33" s="120">
        <v>131012</v>
      </c>
      <c r="M33" s="139">
        <v>171402</v>
      </c>
      <c r="N33" s="145" t="s">
        <v>62</v>
      </c>
      <c r="O33" s="45"/>
      <c r="P33" s="106"/>
    </row>
    <row r="34" spans="1:16" ht="16.5" thickBot="1" x14ac:dyDescent="0.25">
      <c r="A34" s="142"/>
      <c r="B34" s="142"/>
      <c r="C34" s="142"/>
      <c r="D34" s="142"/>
      <c r="E34" s="144">
        <v>8</v>
      </c>
      <c r="F34" s="122">
        <v>12328</v>
      </c>
      <c r="G34" s="123">
        <v>16434</v>
      </c>
      <c r="H34" s="123">
        <v>51053</v>
      </c>
      <c r="I34" s="123">
        <v>73817</v>
      </c>
      <c r="J34" s="123">
        <v>123211</v>
      </c>
      <c r="K34" s="123">
        <v>128398</v>
      </c>
      <c r="L34" s="124">
        <v>155176</v>
      </c>
      <c r="M34" s="140">
        <v>167727</v>
      </c>
      <c r="N34" s="145"/>
      <c r="O34" s="45"/>
      <c r="P34" s="106"/>
    </row>
    <row r="35" spans="1:16" ht="15.75" x14ac:dyDescent="0.2">
      <c r="A35" s="142"/>
      <c r="B35" s="142" t="s">
        <v>12</v>
      </c>
      <c r="C35" s="143" t="s">
        <v>94</v>
      </c>
      <c r="D35" s="142">
        <v>11</v>
      </c>
      <c r="E35" s="144">
        <v>9</v>
      </c>
      <c r="F35" s="126">
        <v>12903</v>
      </c>
      <c r="G35" s="127">
        <v>13369</v>
      </c>
      <c r="H35" s="127">
        <v>14153</v>
      </c>
      <c r="I35" s="127">
        <v>29960</v>
      </c>
      <c r="J35" s="127">
        <v>51878</v>
      </c>
      <c r="K35" s="127">
        <v>84753</v>
      </c>
      <c r="L35" s="128">
        <v>137937</v>
      </c>
      <c r="M35" s="140">
        <v>146084</v>
      </c>
      <c r="N35" s="145"/>
      <c r="O35" s="45"/>
      <c r="P35" s="106"/>
    </row>
    <row r="36" spans="1:16" ht="16.5" thickBot="1" x14ac:dyDescent="0.25">
      <c r="A36" s="142"/>
      <c r="B36" s="142"/>
      <c r="C36" s="142"/>
      <c r="D36" s="142"/>
      <c r="E36" s="144">
        <v>10</v>
      </c>
      <c r="F36" s="129">
        <v>11263</v>
      </c>
      <c r="G36" s="130">
        <v>13406</v>
      </c>
      <c r="H36" s="130">
        <v>15677</v>
      </c>
      <c r="I36" s="130">
        <v>29325</v>
      </c>
      <c r="J36" s="130">
        <v>81234</v>
      </c>
      <c r="K36" s="130">
        <v>139389</v>
      </c>
      <c r="L36" s="131">
        <v>126919</v>
      </c>
      <c r="M36" s="140">
        <v>136328</v>
      </c>
      <c r="N36" s="145"/>
      <c r="O36" s="45"/>
      <c r="P36" s="106"/>
    </row>
    <row r="37" spans="1:16" ht="15.75" x14ac:dyDescent="0.2">
      <c r="A37" s="142"/>
      <c r="B37" s="142" t="s">
        <v>13</v>
      </c>
      <c r="C37" s="143" t="s">
        <v>156</v>
      </c>
      <c r="D37" s="142">
        <v>12</v>
      </c>
      <c r="E37" s="144">
        <v>11</v>
      </c>
      <c r="F37" s="132">
        <v>20961</v>
      </c>
      <c r="G37" s="133">
        <v>37415</v>
      </c>
      <c r="H37" s="133">
        <v>78474</v>
      </c>
      <c r="I37" s="133">
        <v>122902</v>
      </c>
      <c r="J37" s="133">
        <v>162091</v>
      </c>
      <c r="K37" s="133">
        <v>176374</v>
      </c>
      <c r="L37" s="134">
        <v>189958</v>
      </c>
      <c r="M37" s="140">
        <v>194183</v>
      </c>
      <c r="N37" s="145"/>
      <c r="O37" s="45"/>
      <c r="P37" s="106"/>
    </row>
    <row r="38" spans="1:16" ht="16.5" thickBot="1" x14ac:dyDescent="0.25">
      <c r="A38" s="65"/>
      <c r="B38" s="65"/>
      <c r="C38" s="65"/>
      <c r="D38" s="65"/>
      <c r="E38" s="64">
        <v>12</v>
      </c>
      <c r="F38" s="135">
        <v>26624</v>
      </c>
      <c r="G38" s="136">
        <v>44457</v>
      </c>
      <c r="H38" s="136">
        <v>81008</v>
      </c>
      <c r="I38" s="136">
        <v>111842</v>
      </c>
      <c r="J38" s="136">
        <v>143087</v>
      </c>
      <c r="K38" s="136">
        <v>173125</v>
      </c>
      <c r="L38" s="137">
        <v>222992</v>
      </c>
      <c r="M38" s="141">
        <v>258916</v>
      </c>
      <c r="N38" s="146"/>
      <c r="O38" s="45"/>
      <c r="P38" s="106"/>
    </row>
    <row r="39" spans="1:16" ht="14.25" customHeight="1" x14ac:dyDescent="0.2">
      <c r="A39" s="60">
        <v>3</v>
      </c>
      <c r="B39" s="60" t="s">
        <v>14</v>
      </c>
      <c r="C39" s="147" t="s">
        <v>156</v>
      </c>
      <c r="D39" s="60">
        <v>13</v>
      </c>
      <c r="E39" s="61">
        <v>1</v>
      </c>
      <c r="F39" s="118">
        <v>22833</v>
      </c>
      <c r="G39" s="119">
        <v>12784</v>
      </c>
      <c r="H39" s="119">
        <v>11253</v>
      </c>
      <c r="I39" s="119">
        <v>13688</v>
      </c>
      <c r="J39" s="119">
        <v>61602</v>
      </c>
      <c r="K39" s="119">
        <v>117388</v>
      </c>
      <c r="L39" s="120">
        <v>177211</v>
      </c>
      <c r="M39" s="121">
        <v>111</v>
      </c>
      <c r="N39" s="148" t="s">
        <v>63</v>
      </c>
      <c r="O39" s="45"/>
      <c r="P39" s="106"/>
    </row>
    <row r="40" spans="1:16" ht="16.5" thickBot="1" x14ac:dyDescent="0.25">
      <c r="A40" s="142"/>
      <c r="B40" s="142"/>
      <c r="C40" s="142"/>
      <c r="D40" s="142"/>
      <c r="E40" s="144">
        <v>2</v>
      </c>
      <c r="F40" s="122">
        <v>11998</v>
      </c>
      <c r="G40" s="123">
        <v>12222</v>
      </c>
      <c r="H40" s="123">
        <v>10950</v>
      </c>
      <c r="I40" s="123">
        <v>12839</v>
      </c>
      <c r="J40" s="123">
        <v>58425</v>
      </c>
      <c r="K40" s="123">
        <v>98505</v>
      </c>
      <c r="L40" s="124">
        <v>156727</v>
      </c>
      <c r="M40" s="125">
        <v>133</v>
      </c>
      <c r="N40" s="145"/>
      <c r="O40" s="45"/>
      <c r="P40" s="106"/>
    </row>
    <row r="41" spans="1:16" ht="15.75" x14ac:dyDescent="0.2">
      <c r="A41" s="142"/>
      <c r="B41" s="142" t="s">
        <v>15</v>
      </c>
      <c r="C41" s="143" t="s">
        <v>94</v>
      </c>
      <c r="D41" s="142">
        <v>14</v>
      </c>
      <c r="E41" s="144">
        <v>3</v>
      </c>
      <c r="F41" s="126">
        <v>11885</v>
      </c>
      <c r="G41" s="127">
        <v>13169</v>
      </c>
      <c r="H41" s="127">
        <v>16692</v>
      </c>
      <c r="I41" s="127">
        <v>70028</v>
      </c>
      <c r="J41" s="127">
        <v>77379</v>
      </c>
      <c r="K41" s="127">
        <v>116430</v>
      </c>
      <c r="L41" s="128">
        <v>120428</v>
      </c>
      <c r="M41" s="125">
        <v>100</v>
      </c>
      <c r="N41" s="145"/>
      <c r="O41" s="45"/>
      <c r="P41" s="106"/>
    </row>
    <row r="42" spans="1:16" ht="16.5" thickBot="1" x14ac:dyDescent="0.25">
      <c r="A42" s="142"/>
      <c r="B42" s="142"/>
      <c r="C42" s="142"/>
      <c r="D42" s="142"/>
      <c r="E42" s="144">
        <v>4</v>
      </c>
      <c r="F42" s="129">
        <v>10760</v>
      </c>
      <c r="G42" s="130">
        <v>12924</v>
      </c>
      <c r="H42" s="130">
        <v>17672</v>
      </c>
      <c r="I42" s="130">
        <v>60971</v>
      </c>
      <c r="J42" s="130">
        <v>74777</v>
      </c>
      <c r="K42" s="130">
        <v>108722</v>
      </c>
      <c r="L42" s="131">
        <v>155690</v>
      </c>
      <c r="M42" s="125">
        <v>98</v>
      </c>
      <c r="N42" s="145"/>
      <c r="O42" s="45"/>
      <c r="P42" s="106"/>
    </row>
    <row r="43" spans="1:16" ht="15.75" x14ac:dyDescent="0.2">
      <c r="A43" s="142"/>
      <c r="B43" s="142" t="s">
        <v>16</v>
      </c>
      <c r="C43" s="143" t="s">
        <v>157</v>
      </c>
      <c r="D43" s="142">
        <v>15</v>
      </c>
      <c r="E43" s="144">
        <v>5</v>
      </c>
      <c r="F43" s="132">
        <v>13571</v>
      </c>
      <c r="G43" s="133">
        <v>39731</v>
      </c>
      <c r="H43" s="133">
        <v>77912</v>
      </c>
      <c r="I43" s="133">
        <v>173679</v>
      </c>
      <c r="J43" s="133">
        <v>141127</v>
      </c>
      <c r="K43" s="133">
        <v>133514</v>
      </c>
      <c r="L43" s="134">
        <v>153705</v>
      </c>
      <c r="M43" s="125">
        <v>109</v>
      </c>
      <c r="N43" s="145"/>
      <c r="O43" s="45"/>
      <c r="P43" s="106"/>
    </row>
    <row r="44" spans="1:16" ht="16.5" thickBot="1" x14ac:dyDescent="0.25">
      <c r="A44" s="142"/>
      <c r="B44" s="142"/>
      <c r="C44" s="142"/>
      <c r="D44" s="142"/>
      <c r="E44" s="144">
        <v>6</v>
      </c>
      <c r="F44" s="135">
        <v>12337</v>
      </c>
      <c r="G44" s="136">
        <v>35786</v>
      </c>
      <c r="H44" s="136">
        <v>93222</v>
      </c>
      <c r="I44" s="136">
        <v>122973</v>
      </c>
      <c r="J44" s="136">
        <v>159473</v>
      </c>
      <c r="K44" s="136">
        <v>162898</v>
      </c>
      <c r="L44" s="137">
        <v>131688</v>
      </c>
      <c r="M44" s="138">
        <v>190</v>
      </c>
      <c r="N44" s="145"/>
      <c r="O44" s="45"/>
      <c r="P44" s="106"/>
    </row>
    <row r="45" spans="1:16" ht="14.25" customHeight="1" x14ac:dyDescent="0.2">
      <c r="A45" s="142"/>
      <c r="B45" s="142" t="s">
        <v>17</v>
      </c>
      <c r="C45" s="143" t="s">
        <v>156</v>
      </c>
      <c r="D45" s="142">
        <v>16</v>
      </c>
      <c r="E45" s="144">
        <v>7</v>
      </c>
      <c r="F45" s="118">
        <v>12511</v>
      </c>
      <c r="G45" s="119">
        <v>24445</v>
      </c>
      <c r="H45" s="119">
        <v>36953</v>
      </c>
      <c r="I45" s="119">
        <v>82763</v>
      </c>
      <c r="J45" s="119">
        <v>128577</v>
      </c>
      <c r="K45" s="119">
        <v>150247</v>
      </c>
      <c r="L45" s="120">
        <v>112012</v>
      </c>
      <c r="M45" s="139">
        <v>177491</v>
      </c>
      <c r="N45" s="145" t="s">
        <v>62</v>
      </c>
      <c r="O45" s="45"/>
      <c r="P45" s="106"/>
    </row>
    <row r="46" spans="1:16" ht="16.5" thickBot="1" x14ac:dyDescent="0.25">
      <c r="A46" s="142"/>
      <c r="B46" s="142"/>
      <c r="C46" s="142"/>
      <c r="D46" s="142"/>
      <c r="E46" s="144">
        <v>8</v>
      </c>
      <c r="F46" s="122">
        <v>12272</v>
      </c>
      <c r="G46" s="123">
        <v>21118</v>
      </c>
      <c r="H46" s="123">
        <v>31231</v>
      </c>
      <c r="I46" s="123">
        <v>75018</v>
      </c>
      <c r="J46" s="123">
        <v>150732</v>
      </c>
      <c r="K46" s="123">
        <v>121038</v>
      </c>
      <c r="L46" s="124">
        <v>124409</v>
      </c>
      <c r="M46" s="140">
        <v>136225</v>
      </c>
      <c r="N46" s="145"/>
      <c r="O46" s="45"/>
    </row>
    <row r="47" spans="1:16" ht="15.75" x14ac:dyDescent="0.2">
      <c r="A47" s="142"/>
      <c r="B47" s="142" t="s">
        <v>18</v>
      </c>
      <c r="C47" s="143" t="s">
        <v>156</v>
      </c>
      <c r="D47" s="142">
        <v>17</v>
      </c>
      <c r="E47" s="144">
        <v>9</v>
      </c>
      <c r="F47" s="126">
        <v>10785</v>
      </c>
      <c r="G47" s="127">
        <v>22629</v>
      </c>
      <c r="H47" s="127">
        <v>15147</v>
      </c>
      <c r="I47" s="127">
        <v>39004</v>
      </c>
      <c r="J47" s="127">
        <v>96176</v>
      </c>
      <c r="K47" s="127">
        <v>140096</v>
      </c>
      <c r="L47" s="128">
        <v>140841</v>
      </c>
      <c r="M47" s="140">
        <v>164019</v>
      </c>
      <c r="N47" s="145"/>
      <c r="O47" s="45"/>
    </row>
    <row r="48" spans="1:16" ht="16.5" thickBot="1" x14ac:dyDescent="0.25">
      <c r="A48" s="142"/>
      <c r="B48" s="142"/>
      <c r="C48" s="142"/>
      <c r="D48" s="142"/>
      <c r="E48" s="144">
        <v>10</v>
      </c>
      <c r="F48" s="129">
        <v>13662</v>
      </c>
      <c r="G48" s="130">
        <v>25214</v>
      </c>
      <c r="H48" s="130">
        <v>20622</v>
      </c>
      <c r="I48" s="130">
        <v>52203</v>
      </c>
      <c r="J48" s="130">
        <v>140397</v>
      </c>
      <c r="K48" s="130">
        <v>143335</v>
      </c>
      <c r="L48" s="131">
        <v>148288</v>
      </c>
      <c r="M48" s="140">
        <v>169047</v>
      </c>
      <c r="N48" s="145"/>
      <c r="O48" s="45"/>
    </row>
    <row r="49" spans="1:15" ht="15.75" x14ac:dyDescent="0.2">
      <c r="A49" s="142"/>
      <c r="B49" s="142" t="s">
        <v>19</v>
      </c>
      <c r="C49" s="143" t="s">
        <v>157</v>
      </c>
      <c r="D49" s="142">
        <v>18</v>
      </c>
      <c r="E49" s="144">
        <v>11</v>
      </c>
      <c r="F49" s="132">
        <v>14894</v>
      </c>
      <c r="G49" s="133">
        <v>30268</v>
      </c>
      <c r="H49" s="133">
        <v>46095</v>
      </c>
      <c r="I49" s="133">
        <v>124578</v>
      </c>
      <c r="J49" s="133">
        <v>133082</v>
      </c>
      <c r="K49" s="133">
        <v>173142</v>
      </c>
      <c r="L49" s="134">
        <v>177693</v>
      </c>
      <c r="M49" s="140">
        <v>185829</v>
      </c>
      <c r="N49" s="145"/>
      <c r="O49" s="45"/>
    </row>
    <row r="50" spans="1:15" ht="16.5" thickBot="1" x14ac:dyDescent="0.25">
      <c r="A50" s="65"/>
      <c r="B50" s="65"/>
      <c r="C50" s="65"/>
      <c r="D50" s="65"/>
      <c r="E50" s="64">
        <v>12</v>
      </c>
      <c r="F50" s="135">
        <v>18295</v>
      </c>
      <c r="G50" s="136">
        <v>36952</v>
      </c>
      <c r="H50" s="136">
        <v>65065</v>
      </c>
      <c r="I50" s="136">
        <v>110491</v>
      </c>
      <c r="J50" s="136">
        <v>153026</v>
      </c>
      <c r="K50" s="136">
        <v>182069</v>
      </c>
      <c r="L50" s="137">
        <v>214223</v>
      </c>
      <c r="M50" s="141">
        <v>217325</v>
      </c>
      <c r="N50" s="146"/>
      <c r="O50" s="45"/>
    </row>
    <row r="51" spans="1:15" ht="14.25" customHeight="1" x14ac:dyDescent="0.2">
      <c r="A51" s="60">
        <v>4</v>
      </c>
      <c r="B51" s="60" t="s">
        <v>20</v>
      </c>
      <c r="C51" s="147" t="s">
        <v>156</v>
      </c>
      <c r="D51" s="60">
        <v>19</v>
      </c>
      <c r="E51" s="61">
        <v>1</v>
      </c>
      <c r="F51" s="118">
        <v>21518</v>
      </c>
      <c r="G51" s="119">
        <v>17229</v>
      </c>
      <c r="H51" s="119">
        <v>17039</v>
      </c>
      <c r="I51" s="119">
        <v>23749</v>
      </c>
      <c r="J51" s="119">
        <v>94140</v>
      </c>
      <c r="K51" s="119">
        <v>121969</v>
      </c>
      <c r="L51" s="120">
        <v>166049</v>
      </c>
      <c r="M51" s="121">
        <v>109</v>
      </c>
      <c r="N51" s="148" t="s">
        <v>63</v>
      </c>
      <c r="O51" s="45"/>
    </row>
    <row r="52" spans="1:15" ht="16.5" thickBot="1" x14ac:dyDescent="0.25">
      <c r="A52" s="142"/>
      <c r="B52" s="142"/>
      <c r="C52" s="142"/>
      <c r="D52" s="142"/>
      <c r="E52" s="144">
        <v>2</v>
      </c>
      <c r="F52" s="122">
        <v>11607</v>
      </c>
      <c r="G52" s="123">
        <v>12592</v>
      </c>
      <c r="H52" s="123">
        <v>17250</v>
      </c>
      <c r="I52" s="123">
        <v>19354</v>
      </c>
      <c r="J52" s="123">
        <v>72891</v>
      </c>
      <c r="K52" s="123">
        <v>110355</v>
      </c>
      <c r="L52" s="124">
        <v>118350</v>
      </c>
      <c r="M52" s="125">
        <v>107</v>
      </c>
      <c r="N52" s="145"/>
      <c r="O52" s="45"/>
    </row>
    <row r="53" spans="1:15" ht="15.75" x14ac:dyDescent="0.2">
      <c r="A53" s="142"/>
      <c r="B53" s="142" t="s">
        <v>21</v>
      </c>
      <c r="C53" s="143" t="s">
        <v>156</v>
      </c>
      <c r="D53" s="142">
        <v>20</v>
      </c>
      <c r="E53" s="144">
        <v>3</v>
      </c>
      <c r="F53" s="126">
        <v>15275</v>
      </c>
      <c r="G53" s="127">
        <v>12661</v>
      </c>
      <c r="H53" s="127">
        <v>19292</v>
      </c>
      <c r="I53" s="127">
        <v>28834</v>
      </c>
      <c r="J53" s="127">
        <v>96054</v>
      </c>
      <c r="K53" s="127">
        <v>125985</v>
      </c>
      <c r="L53" s="128">
        <v>152006</v>
      </c>
      <c r="M53" s="125">
        <v>98</v>
      </c>
      <c r="N53" s="145"/>
      <c r="O53" s="45"/>
    </row>
    <row r="54" spans="1:15" ht="16.5" thickBot="1" x14ac:dyDescent="0.25">
      <c r="A54" s="142"/>
      <c r="B54" s="142"/>
      <c r="C54" s="142"/>
      <c r="D54" s="142"/>
      <c r="E54" s="144">
        <v>4</v>
      </c>
      <c r="F54" s="129">
        <v>10936</v>
      </c>
      <c r="G54" s="130">
        <v>14990</v>
      </c>
      <c r="H54" s="130">
        <v>22327</v>
      </c>
      <c r="I54" s="130">
        <v>38227</v>
      </c>
      <c r="J54" s="130">
        <v>94862</v>
      </c>
      <c r="K54" s="130">
        <v>122697</v>
      </c>
      <c r="L54" s="131">
        <v>110305</v>
      </c>
      <c r="M54" s="125">
        <v>105</v>
      </c>
      <c r="N54" s="145"/>
      <c r="O54" s="45"/>
    </row>
    <row r="55" spans="1:15" ht="15.75" x14ac:dyDescent="0.2">
      <c r="A55" s="142"/>
      <c r="B55" s="142" t="s">
        <v>22</v>
      </c>
      <c r="C55" s="143" t="s">
        <v>156</v>
      </c>
      <c r="D55" s="142">
        <v>21</v>
      </c>
      <c r="E55" s="144">
        <v>5</v>
      </c>
      <c r="F55" s="132">
        <v>14171</v>
      </c>
      <c r="G55" s="133">
        <v>28778</v>
      </c>
      <c r="H55" s="133">
        <v>39598</v>
      </c>
      <c r="I55" s="133">
        <v>54064</v>
      </c>
      <c r="J55" s="133">
        <v>146407</v>
      </c>
      <c r="K55" s="133">
        <v>134322</v>
      </c>
      <c r="L55" s="134">
        <v>140505</v>
      </c>
      <c r="M55" s="125">
        <v>109</v>
      </c>
      <c r="N55" s="145"/>
      <c r="O55" s="45"/>
    </row>
    <row r="56" spans="1:15" ht="16.5" thickBot="1" x14ac:dyDescent="0.25">
      <c r="A56" s="142"/>
      <c r="B56" s="142"/>
      <c r="C56" s="142"/>
      <c r="D56" s="142"/>
      <c r="E56" s="144">
        <v>6</v>
      </c>
      <c r="F56" s="135">
        <v>14712</v>
      </c>
      <c r="G56" s="136">
        <v>15380</v>
      </c>
      <c r="H56" s="136">
        <v>19188</v>
      </c>
      <c r="I56" s="136">
        <v>53607</v>
      </c>
      <c r="J56" s="136">
        <v>118307</v>
      </c>
      <c r="K56" s="136">
        <v>123759</v>
      </c>
      <c r="L56" s="137">
        <v>117517</v>
      </c>
      <c r="M56" s="138">
        <v>165</v>
      </c>
      <c r="N56" s="145"/>
      <c r="O56" s="45"/>
    </row>
    <row r="57" spans="1:15" ht="14.25" customHeight="1" x14ac:dyDescent="0.2">
      <c r="A57" s="142"/>
      <c r="B57" s="142" t="s">
        <v>23</v>
      </c>
      <c r="C57" s="143" t="s">
        <v>156</v>
      </c>
      <c r="D57" s="142">
        <v>22</v>
      </c>
      <c r="E57" s="144">
        <v>7</v>
      </c>
      <c r="F57" s="118">
        <v>15219</v>
      </c>
      <c r="G57" s="119">
        <v>14616</v>
      </c>
      <c r="H57" s="119">
        <v>26273</v>
      </c>
      <c r="I57" s="119">
        <v>76814</v>
      </c>
      <c r="J57" s="119">
        <v>137901</v>
      </c>
      <c r="K57" s="119">
        <v>161317</v>
      </c>
      <c r="L57" s="120">
        <v>101083</v>
      </c>
      <c r="M57" s="139">
        <v>122496</v>
      </c>
      <c r="N57" s="145" t="s">
        <v>62</v>
      </c>
      <c r="O57" s="45"/>
    </row>
    <row r="58" spans="1:15" ht="16.5" thickBot="1" x14ac:dyDescent="0.25">
      <c r="A58" s="142"/>
      <c r="B58" s="142"/>
      <c r="C58" s="142"/>
      <c r="D58" s="142"/>
      <c r="E58" s="144">
        <v>8</v>
      </c>
      <c r="F58" s="122">
        <v>11833</v>
      </c>
      <c r="G58" s="123">
        <v>14242</v>
      </c>
      <c r="H58" s="123">
        <v>26728</v>
      </c>
      <c r="I58" s="123">
        <v>92193</v>
      </c>
      <c r="J58" s="123">
        <v>106699</v>
      </c>
      <c r="K58" s="123">
        <v>165348</v>
      </c>
      <c r="L58" s="124">
        <v>104752</v>
      </c>
      <c r="M58" s="140">
        <v>127998</v>
      </c>
      <c r="N58" s="145"/>
      <c r="O58" s="45"/>
    </row>
    <row r="59" spans="1:15" ht="15.75" x14ac:dyDescent="0.2">
      <c r="A59" s="142"/>
      <c r="B59" s="142" t="s">
        <v>24</v>
      </c>
      <c r="C59" s="143" t="s">
        <v>157</v>
      </c>
      <c r="D59" s="142">
        <v>23</v>
      </c>
      <c r="E59" s="144">
        <v>9</v>
      </c>
      <c r="F59" s="126">
        <v>12606</v>
      </c>
      <c r="G59" s="127">
        <v>19614</v>
      </c>
      <c r="H59" s="127">
        <v>65246</v>
      </c>
      <c r="I59" s="127">
        <v>141167</v>
      </c>
      <c r="J59" s="127">
        <v>167160</v>
      </c>
      <c r="K59" s="127">
        <v>133299</v>
      </c>
      <c r="L59" s="128">
        <v>147409</v>
      </c>
      <c r="M59" s="140">
        <v>171765</v>
      </c>
      <c r="N59" s="145"/>
      <c r="O59" s="45"/>
    </row>
    <row r="60" spans="1:15" ht="16.5" thickBot="1" x14ac:dyDescent="0.25">
      <c r="A60" s="142"/>
      <c r="B60" s="142"/>
      <c r="C60" s="142"/>
      <c r="D60" s="142"/>
      <c r="E60" s="144">
        <v>10</v>
      </c>
      <c r="F60" s="129">
        <v>16016</v>
      </c>
      <c r="G60" s="130">
        <v>19600</v>
      </c>
      <c r="H60" s="130">
        <v>74178</v>
      </c>
      <c r="I60" s="130">
        <v>139865</v>
      </c>
      <c r="J60" s="130">
        <v>171836</v>
      </c>
      <c r="K60" s="130">
        <v>155268</v>
      </c>
      <c r="L60" s="131">
        <v>139644</v>
      </c>
      <c r="M60" s="140">
        <v>141607</v>
      </c>
      <c r="N60" s="145"/>
      <c r="O60" s="45"/>
    </row>
    <row r="61" spans="1:15" ht="15.75" x14ac:dyDescent="0.2">
      <c r="A61" s="142"/>
      <c r="B61" s="142" t="s">
        <v>25</v>
      </c>
      <c r="C61" s="143" t="s">
        <v>156</v>
      </c>
      <c r="D61" s="142">
        <v>24</v>
      </c>
      <c r="E61" s="144">
        <v>11</v>
      </c>
      <c r="F61" s="132">
        <v>14629</v>
      </c>
      <c r="G61" s="133">
        <v>13928</v>
      </c>
      <c r="H61" s="133">
        <v>12802</v>
      </c>
      <c r="I61" s="133">
        <v>29889</v>
      </c>
      <c r="J61" s="133">
        <v>99425</v>
      </c>
      <c r="K61" s="133">
        <v>160065</v>
      </c>
      <c r="L61" s="134">
        <v>140315</v>
      </c>
      <c r="M61" s="140">
        <v>193840</v>
      </c>
      <c r="N61" s="145"/>
      <c r="O61" s="45"/>
    </row>
    <row r="62" spans="1:15" ht="16.5" thickBot="1" x14ac:dyDescent="0.25">
      <c r="A62" s="65"/>
      <c r="B62" s="65"/>
      <c r="C62" s="65"/>
      <c r="D62" s="65"/>
      <c r="E62" s="64">
        <v>12</v>
      </c>
      <c r="F62" s="135">
        <v>17790</v>
      </c>
      <c r="G62" s="136">
        <v>14909</v>
      </c>
      <c r="H62" s="136">
        <v>20224</v>
      </c>
      <c r="I62" s="136">
        <v>45891</v>
      </c>
      <c r="J62" s="136">
        <v>85373</v>
      </c>
      <c r="K62" s="136">
        <v>137535</v>
      </c>
      <c r="L62" s="137">
        <v>129492</v>
      </c>
      <c r="M62" s="141">
        <v>211308</v>
      </c>
      <c r="N62" s="146"/>
      <c r="O62" s="45"/>
    </row>
    <row r="63" spans="1:15" ht="14.25" customHeight="1" x14ac:dyDescent="0.2">
      <c r="A63" s="60">
        <v>5</v>
      </c>
      <c r="B63" s="60" t="s">
        <v>26</v>
      </c>
      <c r="C63" s="147" t="s">
        <v>156</v>
      </c>
      <c r="D63" s="60">
        <v>25</v>
      </c>
      <c r="E63" s="61">
        <v>1</v>
      </c>
      <c r="F63" s="118">
        <v>11261</v>
      </c>
      <c r="G63" s="119">
        <v>14121</v>
      </c>
      <c r="H63" s="119">
        <v>10660</v>
      </c>
      <c r="I63" s="119">
        <v>29534</v>
      </c>
      <c r="J63" s="119">
        <v>91026</v>
      </c>
      <c r="K63" s="119">
        <v>151803</v>
      </c>
      <c r="L63" s="120">
        <v>223217</v>
      </c>
      <c r="M63" s="121">
        <v>141</v>
      </c>
      <c r="N63" s="148" t="s">
        <v>63</v>
      </c>
      <c r="O63" s="45"/>
    </row>
    <row r="64" spans="1:15" ht="16.5" thickBot="1" x14ac:dyDescent="0.25">
      <c r="A64" s="142"/>
      <c r="B64" s="142"/>
      <c r="C64" s="142"/>
      <c r="D64" s="142"/>
      <c r="E64" s="144">
        <v>2</v>
      </c>
      <c r="F64" s="122">
        <v>9908</v>
      </c>
      <c r="G64" s="123">
        <v>11094</v>
      </c>
      <c r="H64" s="123">
        <v>12000</v>
      </c>
      <c r="I64" s="123">
        <v>38356</v>
      </c>
      <c r="J64" s="123">
        <v>96938</v>
      </c>
      <c r="K64" s="123">
        <v>159959</v>
      </c>
      <c r="L64" s="124">
        <v>171173</v>
      </c>
      <c r="M64" s="125">
        <v>144</v>
      </c>
      <c r="N64" s="145"/>
      <c r="O64" s="45"/>
    </row>
    <row r="65" spans="1:15" ht="15.75" x14ac:dyDescent="0.2">
      <c r="A65" s="142"/>
      <c r="B65" s="142" t="s">
        <v>27</v>
      </c>
      <c r="C65" s="143" t="s">
        <v>157</v>
      </c>
      <c r="D65" s="142">
        <v>26</v>
      </c>
      <c r="E65" s="144">
        <v>3</v>
      </c>
      <c r="F65" s="126">
        <v>10942</v>
      </c>
      <c r="G65" s="127">
        <v>12746</v>
      </c>
      <c r="H65" s="127">
        <v>30934</v>
      </c>
      <c r="I65" s="127">
        <v>99537</v>
      </c>
      <c r="J65" s="127">
        <v>114891</v>
      </c>
      <c r="K65" s="127">
        <v>152585</v>
      </c>
      <c r="L65" s="128">
        <v>176572</v>
      </c>
      <c r="M65" s="125">
        <v>109</v>
      </c>
      <c r="N65" s="145"/>
      <c r="O65" s="45"/>
    </row>
    <row r="66" spans="1:15" ht="16.5" thickBot="1" x14ac:dyDescent="0.25">
      <c r="A66" s="142"/>
      <c r="B66" s="142"/>
      <c r="C66" s="142"/>
      <c r="D66" s="142"/>
      <c r="E66" s="144">
        <v>4</v>
      </c>
      <c r="F66" s="129">
        <v>10572</v>
      </c>
      <c r="G66" s="130">
        <v>12385</v>
      </c>
      <c r="H66" s="130">
        <v>30480</v>
      </c>
      <c r="I66" s="130">
        <v>78036</v>
      </c>
      <c r="J66" s="130">
        <v>135439</v>
      </c>
      <c r="K66" s="130">
        <v>132699</v>
      </c>
      <c r="L66" s="131">
        <v>122482</v>
      </c>
      <c r="M66" s="125">
        <v>106</v>
      </c>
      <c r="N66" s="145"/>
      <c r="O66" s="45"/>
    </row>
    <row r="67" spans="1:15" ht="15.75" x14ac:dyDescent="0.2">
      <c r="A67" s="142"/>
      <c r="B67" s="142" t="s">
        <v>28</v>
      </c>
      <c r="C67" s="143" t="s">
        <v>156</v>
      </c>
      <c r="D67" s="142">
        <v>27</v>
      </c>
      <c r="E67" s="144">
        <v>5</v>
      </c>
      <c r="F67" s="132">
        <v>10622</v>
      </c>
      <c r="G67" s="133">
        <v>13539</v>
      </c>
      <c r="H67" s="133">
        <v>24442</v>
      </c>
      <c r="I67" s="133">
        <v>74416</v>
      </c>
      <c r="J67" s="133">
        <v>149075</v>
      </c>
      <c r="K67" s="133">
        <v>135615</v>
      </c>
      <c r="L67" s="134">
        <v>130190</v>
      </c>
      <c r="M67" s="125">
        <v>78</v>
      </c>
      <c r="N67" s="145"/>
      <c r="O67" s="45"/>
    </row>
    <row r="68" spans="1:15" ht="16.5" thickBot="1" x14ac:dyDescent="0.25">
      <c r="A68" s="142"/>
      <c r="B68" s="142"/>
      <c r="C68" s="142"/>
      <c r="D68" s="142"/>
      <c r="E68" s="144">
        <v>6</v>
      </c>
      <c r="F68" s="135">
        <v>11297</v>
      </c>
      <c r="G68" s="136">
        <v>17645</v>
      </c>
      <c r="H68" s="136">
        <v>22597</v>
      </c>
      <c r="I68" s="136">
        <v>77932</v>
      </c>
      <c r="J68" s="136">
        <v>129106</v>
      </c>
      <c r="K68" s="136">
        <v>137679</v>
      </c>
      <c r="L68" s="137">
        <v>109056</v>
      </c>
      <c r="M68" s="138">
        <v>152</v>
      </c>
      <c r="N68" s="145"/>
      <c r="O68" s="45"/>
    </row>
    <row r="69" spans="1:15" ht="14.25" customHeight="1" x14ac:dyDescent="0.2">
      <c r="A69" s="142"/>
      <c r="B69" s="142" t="s">
        <v>29</v>
      </c>
      <c r="C69" s="143" t="s">
        <v>156</v>
      </c>
      <c r="D69" s="142">
        <v>28</v>
      </c>
      <c r="E69" s="144">
        <v>7</v>
      </c>
      <c r="F69" s="118">
        <v>11914</v>
      </c>
      <c r="G69" s="119">
        <v>13092</v>
      </c>
      <c r="H69" s="119">
        <v>16899</v>
      </c>
      <c r="I69" s="119">
        <v>19838</v>
      </c>
      <c r="J69" s="119">
        <v>38756</v>
      </c>
      <c r="K69" s="119">
        <v>86807</v>
      </c>
      <c r="L69" s="120">
        <v>129589</v>
      </c>
      <c r="M69" s="139">
        <v>114725</v>
      </c>
      <c r="N69" s="145" t="s">
        <v>62</v>
      </c>
      <c r="O69" s="45"/>
    </row>
    <row r="70" spans="1:15" ht="16.5" thickBot="1" x14ac:dyDescent="0.25">
      <c r="A70" s="142"/>
      <c r="B70" s="142"/>
      <c r="C70" s="142"/>
      <c r="D70" s="142"/>
      <c r="E70" s="144">
        <v>8</v>
      </c>
      <c r="F70" s="122">
        <v>12275</v>
      </c>
      <c r="G70" s="123">
        <v>13513</v>
      </c>
      <c r="H70" s="123">
        <v>32409</v>
      </c>
      <c r="I70" s="123">
        <v>29398</v>
      </c>
      <c r="J70" s="123">
        <v>44898</v>
      </c>
      <c r="K70" s="123">
        <v>93279</v>
      </c>
      <c r="L70" s="124">
        <v>122484</v>
      </c>
      <c r="M70" s="140">
        <v>129637</v>
      </c>
      <c r="N70" s="145"/>
      <c r="O70" s="45"/>
    </row>
    <row r="71" spans="1:15" ht="15.75" x14ac:dyDescent="0.2">
      <c r="A71" s="142"/>
      <c r="B71" s="142" t="s">
        <v>30</v>
      </c>
      <c r="C71" s="143" t="s">
        <v>94</v>
      </c>
      <c r="D71" s="142">
        <v>29</v>
      </c>
      <c r="E71" s="144">
        <v>9</v>
      </c>
      <c r="F71" s="126">
        <v>201670</v>
      </c>
      <c r="G71" s="127">
        <v>168226</v>
      </c>
      <c r="H71" s="127">
        <v>215214</v>
      </c>
      <c r="I71" s="127">
        <v>226625</v>
      </c>
      <c r="J71" s="127">
        <v>175562</v>
      </c>
      <c r="K71" s="127">
        <v>189828</v>
      </c>
      <c r="L71" s="128">
        <v>125336</v>
      </c>
      <c r="M71" s="140">
        <v>142647</v>
      </c>
      <c r="N71" s="145"/>
      <c r="O71" s="45"/>
    </row>
    <row r="72" spans="1:15" ht="16.5" thickBot="1" x14ac:dyDescent="0.25">
      <c r="A72" s="142"/>
      <c r="B72" s="142"/>
      <c r="C72" s="142"/>
      <c r="D72" s="142"/>
      <c r="E72" s="144">
        <v>10</v>
      </c>
      <c r="F72" s="129">
        <v>181074</v>
      </c>
      <c r="G72" s="130">
        <v>173471</v>
      </c>
      <c r="H72" s="130">
        <v>243225</v>
      </c>
      <c r="I72" s="130">
        <v>190267</v>
      </c>
      <c r="J72" s="130">
        <v>218210</v>
      </c>
      <c r="K72" s="130">
        <v>165199</v>
      </c>
      <c r="L72" s="131">
        <v>143098</v>
      </c>
      <c r="M72" s="140">
        <v>143097</v>
      </c>
      <c r="N72" s="145"/>
      <c r="O72" s="45"/>
    </row>
    <row r="73" spans="1:15" ht="15.75" x14ac:dyDescent="0.2">
      <c r="A73" s="142"/>
      <c r="B73" s="142" t="s">
        <v>31</v>
      </c>
      <c r="C73" s="143" t="s">
        <v>94</v>
      </c>
      <c r="D73" s="142">
        <v>30</v>
      </c>
      <c r="E73" s="144">
        <v>11</v>
      </c>
      <c r="F73" s="132">
        <v>297475</v>
      </c>
      <c r="G73" s="133">
        <v>217631</v>
      </c>
      <c r="H73" s="133">
        <v>216129</v>
      </c>
      <c r="I73" s="133">
        <v>178940</v>
      </c>
      <c r="J73" s="133">
        <v>219447</v>
      </c>
      <c r="K73" s="133">
        <v>183502</v>
      </c>
      <c r="L73" s="134">
        <v>191334</v>
      </c>
      <c r="M73" s="140">
        <v>158798</v>
      </c>
      <c r="N73" s="145"/>
      <c r="O73" s="45"/>
    </row>
    <row r="74" spans="1:15" ht="16.5" thickBot="1" x14ac:dyDescent="0.25">
      <c r="A74" s="65"/>
      <c r="B74" s="65"/>
      <c r="C74" s="65"/>
      <c r="D74" s="65"/>
      <c r="E74" s="64">
        <v>12</v>
      </c>
      <c r="F74" s="135">
        <v>289469</v>
      </c>
      <c r="G74" s="136">
        <v>232136</v>
      </c>
      <c r="H74" s="136">
        <v>178932</v>
      </c>
      <c r="I74" s="136">
        <v>203540</v>
      </c>
      <c r="J74" s="136">
        <v>160775</v>
      </c>
      <c r="K74" s="136">
        <v>174247</v>
      </c>
      <c r="L74" s="137">
        <v>224072</v>
      </c>
      <c r="M74" s="141">
        <v>211873</v>
      </c>
      <c r="N74" s="146"/>
      <c r="O74" s="45"/>
    </row>
  </sheetData>
  <mergeCells count="115">
    <mergeCell ref="D73:D74"/>
    <mergeCell ref="A13:E13"/>
    <mergeCell ref="D67:D68"/>
    <mergeCell ref="B69:B70"/>
    <mergeCell ref="C69:C70"/>
    <mergeCell ref="D69:D70"/>
    <mergeCell ref="N69:N74"/>
    <mergeCell ref="B71:B72"/>
    <mergeCell ref="C71:C72"/>
    <mergeCell ref="D71:D72"/>
    <mergeCell ref="B73:B74"/>
    <mergeCell ref="C73:C74"/>
    <mergeCell ref="A63:A74"/>
    <mergeCell ref="B63:B64"/>
    <mergeCell ref="C63:C64"/>
    <mergeCell ref="D63:D64"/>
    <mergeCell ref="N63:N68"/>
    <mergeCell ref="B65:B66"/>
    <mergeCell ref="C65:C66"/>
    <mergeCell ref="D65:D66"/>
    <mergeCell ref="B67:B68"/>
    <mergeCell ref="C67:C68"/>
    <mergeCell ref="N57:N62"/>
    <mergeCell ref="B59:B60"/>
    <mergeCell ref="C59:C60"/>
    <mergeCell ref="D59:D60"/>
    <mergeCell ref="B61:B62"/>
    <mergeCell ref="C61:C62"/>
    <mergeCell ref="D61:D62"/>
    <mergeCell ref="N51:N56"/>
    <mergeCell ref="B53:B54"/>
    <mergeCell ref="C53:C54"/>
    <mergeCell ref="D53:D54"/>
    <mergeCell ref="B55:B56"/>
    <mergeCell ref="C55:C56"/>
    <mergeCell ref="D55:D56"/>
    <mergeCell ref="C49:C50"/>
    <mergeCell ref="D49:D50"/>
    <mergeCell ref="A51:A62"/>
    <mergeCell ref="B51:B52"/>
    <mergeCell ref="C51:C52"/>
    <mergeCell ref="D51:D52"/>
    <mergeCell ref="B57:B58"/>
    <mergeCell ref="C57:C58"/>
    <mergeCell ref="D57:D58"/>
    <mergeCell ref="C43:C44"/>
    <mergeCell ref="D43:D44"/>
    <mergeCell ref="B45:B46"/>
    <mergeCell ref="C45:C46"/>
    <mergeCell ref="D45:D46"/>
    <mergeCell ref="N45:N50"/>
    <mergeCell ref="B47:B48"/>
    <mergeCell ref="C47:C48"/>
    <mergeCell ref="D47:D48"/>
    <mergeCell ref="B49:B50"/>
    <mergeCell ref="D37:D38"/>
    <mergeCell ref="A39:A50"/>
    <mergeCell ref="B39:B40"/>
    <mergeCell ref="C39:C40"/>
    <mergeCell ref="D39:D40"/>
    <mergeCell ref="N39:N44"/>
    <mergeCell ref="B41:B42"/>
    <mergeCell ref="C41:C42"/>
    <mergeCell ref="D41:D42"/>
    <mergeCell ref="B43:B44"/>
    <mergeCell ref="D31:D32"/>
    <mergeCell ref="B33:B34"/>
    <mergeCell ref="C33:C34"/>
    <mergeCell ref="D33:D34"/>
    <mergeCell ref="N33:N38"/>
    <mergeCell ref="B35:B36"/>
    <mergeCell ref="C35:C36"/>
    <mergeCell ref="D35:D36"/>
    <mergeCell ref="B37:B38"/>
    <mergeCell ref="C37:C38"/>
    <mergeCell ref="A27:A38"/>
    <mergeCell ref="B27:B28"/>
    <mergeCell ref="C27:C28"/>
    <mergeCell ref="D27:D28"/>
    <mergeCell ref="N27:N32"/>
    <mergeCell ref="B29:B30"/>
    <mergeCell ref="C29:C30"/>
    <mergeCell ref="D29:D30"/>
    <mergeCell ref="B31:B32"/>
    <mergeCell ref="C31:C32"/>
    <mergeCell ref="N21:N26"/>
    <mergeCell ref="B23:B24"/>
    <mergeCell ref="C23:C24"/>
    <mergeCell ref="D23:D24"/>
    <mergeCell ref="B25:B26"/>
    <mergeCell ref="C25:C26"/>
    <mergeCell ref="D25:D26"/>
    <mergeCell ref="D17:D18"/>
    <mergeCell ref="B19:B20"/>
    <mergeCell ref="C19:C20"/>
    <mergeCell ref="D19:D20"/>
    <mergeCell ref="B21:B22"/>
    <mergeCell ref="C21:C22"/>
    <mergeCell ref="D21:D22"/>
    <mergeCell ref="A3:A10"/>
    <mergeCell ref="D11:I11"/>
    <mergeCell ref="J11:O11"/>
    <mergeCell ref="A15:A26"/>
    <mergeCell ref="B15:B16"/>
    <mergeCell ref="C15:C16"/>
    <mergeCell ref="D15:D16"/>
    <mergeCell ref="N15:N20"/>
    <mergeCell ref="B17:B18"/>
    <mergeCell ref="C17:C18"/>
    <mergeCell ref="D1:E1"/>
    <mergeCell ref="F1:G1"/>
    <mergeCell ref="H1:I1"/>
    <mergeCell ref="J1:K1"/>
    <mergeCell ref="L1:M1"/>
    <mergeCell ref="N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CPE assay 1 raw data</vt:lpstr>
      <vt:lpstr>CPE assay 2 raw data</vt:lpstr>
      <vt:lpstr>ImmunoSpot assay 2 raw data</vt:lpstr>
      <vt:lpstr>ImmunoSpot assay 3 raw data</vt:lpstr>
      <vt:lpstr>Pseudoneut assay 1 raw data</vt:lpstr>
      <vt:lpstr>Pseudoneut assay 2 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Mordant</dc:creator>
  <cp:lastModifiedBy>Francesca Mordant</cp:lastModifiedBy>
  <cp:lastPrinted>2024-01-31T00:09:07Z</cp:lastPrinted>
  <dcterms:created xsi:type="dcterms:W3CDTF">2024-01-30T23:20:20Z</dcterms:created>
  <dcterms:modified xsi:type="dcterms:W3CDTF">2024-02-14T05:00:12Z</dcterms:modified>
</cp:coreProperties>
</file>